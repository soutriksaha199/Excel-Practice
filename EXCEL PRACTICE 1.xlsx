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A:\DATA ANALYTICS CLASSES\"/>
    </mc:Choice>
  </mc:AlternateContent>
  <xr:revisionPtr revIDLastSave="0" documentId="8_{428FDDB3-582B-483E-800C-EDBA08FAE549}" xr6:coauthVersionLast="47" xr6:coauthVersionMax="47" xr10:uidLastSave="{00000000-0000-0000-0000-000000000000}"/>
  <bookViews>
    <workbookView xWindow="-103" yWindow="-103" windowWidth="24892" windowHeight="14914" activeTab="3" xr2:uid="{F284257B-9CBC-40AE-8299-3485D57C5799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4" l="1"/>
  <c r="B15" i="4"/>
  <c r="M14" i="4"/>
  <c r="K15" i="4"/>
  <c r="D16" i="4"/>
  <c r="F18" i="4"/>
  <c r="F17" i="4"/>
  <c r="D14" i="4"/>
  <c r="L27" i="3"/>
  <c r="K27" i="3"/>
  <c r="I27" i="3"/>
  <c r="H27" i="3"/>
  <c r="G27" i="3"/>
  <c r="E27" i="3"/>
  <c r="H19" i="3"/>
  <c r="I19" i="3"/>
  <c r="G19" i="3"/>
  <c r="E19" i="3"/>
  <c r="I16" i="3"/>
  <c r="H16" i="3"/>
  <c r="G16" i="3"/>
  <c r="E16" i="3"/>
  <c r="G8" i="3"/>
  <c r="H8" i="3"/>
  <c r="I8" i="3"/>
  <c r="G9" i="3"/>
  <c r="H9" i="3"/>
  <c r="I9" i="3"/>
  <c r="I7" i="3"/>
  <c r="H7" i="3"/>
  <c r="G7" i="3"/>
  <c r="E7" i="3"/>
  <c r="H13" i="2"/>
  <c r="G13" i="2"/>
  <c r="F13" i="2"/>
  <c r="K5" i="1"/>
  <c r="K6" i="1"/>
  <c r="K7" i="1"/>
  <c r="K8" i="1"/>
  <c r="K9" i="1"/>
  <c r="K10" i="1"/>
  <c r="K11" i="1"/>
  <c r="K12" i="1"/>
  <c r="K13" i="1"/>
  <c r="K14" i="1"/>
  <c r="J5" i="1"/>
  <c r="J6" i="1"/>
  <c r="J7" i="1"/>
  <c r="J8" i="1"/>
  <c r="J9" i="1"/>
  <c r="J10" i="1"/>
  <c r="J11" i="1"/>
  <c r="J12" i="1"/>
  <c r="J13" i="1"/>
  <c r="J14" i="1"/>
  <c r="I5" i="1"/>
  <c r="I6" i="1"/>
  <c r="I7" i="1"/>
  <c r="I8" i="1"/>
  <c r="I9" i="1"/>
  <c r="I10" i="1"/>
  <c r="I11" i="1"/>
  <c r="I12" i="1"/>
  <c r="I13" i="1"/>
  <c r="I14" i="1"/>
  <c r="F16" i="2"/>
  <c r="G16" i="2" s="1"/>
  <c r="F12" i="2"/>
  <c r="F11" i="2"/>
  <c r="I4" i="1"/>
  <c r="H5" i="1"/>
  <c r="H6" i="1"/>
  <c r="H7" i="1"/>
  <c r="H8" i="1"/>
  <c r="H9" i="1"/>
  <c r="H10" i="1"/>
  <c r="H11" i="1"/>
  <c r="H12" i="1"/>
  <c r="H13" i="1"/>
  <c r="H14" i="1"/>
  <c r="L6" i="1"/>
  <c r="L5" i="1"/>
  <c r="K4" i="1"/>
  <c r="J4" i="1"/>
  <c r="L4" i="1" s="1"/>
  <c r="H4" i="1"/>
  <c r="J8" i="3" l="1"/>
  <c r="L8" i="3" s="1"/>
  <c r="J19" i="3"/>
  <c r="L19" i="3" s="1"/>
  <c r="J27" i="3"/>
  <c r="J16" i="3"/>
  <c r="L16" i="3"/>
  <c r="J7" i="3"/>
  <c r="L7" i="3" s="1"/>
  <c r="J9" i="3"/>
  <c r="L9" i="3" s="1"/>
  <c r="G11" i="2"/>
  <c r="H11" i="2" s="1"/>
  <c r="G12" i="2"/>
  <c r="H12" i="2" s="1"/>
  <c r="M4" i="1"/>
</calcChain>
</file>

<file path=xl/sharedStrings.xml><?xml version="1.0" encoding="utf-8"?>
<sst xmlns="http://schemas.openxmlformats.org/spreadsheetml/2006/main" count="127" uniqueCount="82">
  <si>
    <t>Student Report Card</t>
  </si>
  <si>
    <t>RollNo</t>
  </si>
  <si>
    <t>Name</t>
  </si>
  <si>
    <t>Excel</t>
  </si>
  <si>
    <t>Python</t>
  </si>
  <si>
    <t>SQL</t>
  </si>
  <si>
    <t>ML</t>
  </si>
  <si>
    <t>GENAI</t>
  </si>
  <si>
    <t>Total Marks</t>
  </si>
  <si>
    <t>Max</t>
  </si>
  <si>
    <t>Avg</t>
  </si>
  <si>
    <t>Min</t>
  </si>
  <si>
    <t>Result</t>
  </si>
  <si>
    <t>Grade</t>
  </si>
  <si>
    <t>BILL CALCULATION</t>
  </si>
  <si>
    <t>ITEM CODE</t>
  </si>
  <si>
    <t>PRICE</t>
  </si>
  <si>
    <t>QTY</t>
  </si>
  <si>
    <t>CITY</t>
  </si>
  <si>
    <t>TOTAL AMOUNT</t>
  </si>
  <si>
    <t>DISSCOUNT</t>
  </si>
  <si>
    <t>TOTAL PAID</t>
  </si>
  <si>
    <t>PUNE</t>
  </si>
  <si>
    <t>CHENNAI</t>
  </si>
  <si>
    <t>IF TOTAL AMOUNT IS &lt;500 DIS IS 5%, &gt;500 Dis 10%)</t>
  </si>
  <si>
    <t>DELHI</t>
  </si>
  <si>
    <t>USER</t>
  </si>
  <si>
    <t>STUDENT</t>
  </si>
  <si>
    <t>TEACHER</t>
  </si>
  <si>
    <t>STAFF</t>
  </si>
  <si>
    <t>KOLKATA</t>
  </si>
  <si>
    <t>EMP IP</t>
  </si>
  <si>
    <t>NAME</t>
  </si>
  <si>
    <t>BASIC</t>
  </si>
  <si>
    <t>HRA(10%)</t>
  </si>
  <si>
    <t>CCA(12%)</t>
  </si>
  <si>
    <t>DA(15%)</t>
  </si>
  <si>
    <t>PF(20%)</t>
  </si>
  <si>
    <t>GS(BASIC+HRA+CCA+DA)</t>
  </si>
  <si>
    <t>NET SALARY(INHAND)(GS-PF)</t>
  </si>
  <si>
    <t>JEET</t>
  </si>
  <si>
    <t>SALARY PAYSLIP1</t>
  </si>
  <si>
    <t>SALARY PAYSLIP2</t>
  </si>
  <si>
    <t>CITY TYPE</t>
  </si>
  <si>
    <t>METRO</t>
  </si>
  <si>
    <t>NON METRO</t>
  </si>
  <si>
    <t>IF BASIC &lt;= 5000 5% OTHER 10%</t>
  </si>
  <si>
    <t>METRO 5% NO METRO 10%</t>
  </si>
  <si>
    <t>BASIC &lt;= 5000 500 OTHER WISE 12%</t>
  </si>
  <si>
    <t>SAM</t>
  </si>
  <si>
    <t>No of Leave</t>
  </si>
  <si>
    <t>Leave Amount</t>
  </si>
  <si>
    <t>2000/30*noL</t>
  </si>
  <si>
    <t>gs-(Lamount-pf)</t>
  </si>
  <si>
    <t>COUNTA</t>
  </si>
  <si>
    <t>COUNT</t>
  </si>
  <si>
    <t>COUNTIF</t>
  </si>
  <si>
    <t>ITEM</t>
  </si>
  <si>
    <t>MARKS</t>
  </si>
  <si>
    <t>count how many students are pass(40)</t>
  </si>
  <si>
    <t>ATTENDENCE</t>
  </si>
  <si>
    <t>P</t>
  </si>
  <si>
    <t>A</t>
  </si>
  <si>
    <t>NO OF STUDENTS PRESENT</t>
  </si>
  <si>
    <t>NO OF STUDENTS ABSENT</t>
  </si>
  <si>
    <t>COUNTIFS</t>
  </si>
  <si>
    <t>AGE</t>
  </si>
  <si>
    <t>GENDER</t>
  </si>
  <si>
    <t>MALE</t>
  </si>
  <si>
    <t>FEMALE</t>
  </si>
  <si>
    <t>COUNT IF FEMALE WITH AGE 18 ABOVE</t>
  </si>
  <si>
    <t>CREDIT SCORE</t>
  </si>
  <si>
    <t>YEARS USING</t>
  </si>
  <si>
    <t>SUM</t>
  </si>
  <si>
    <t>SUMIF</t>
  </si>
  <si>
    <t>SUMIFS</t>
  </si>
  <si>
    <t>FRUITS</t>
  </si>
  <si>
    <t>APPLE</t>
  </si>
  <si>
    <t>KIWI</t>
  </si>
  <si>
    <t>LEMON</t>
  </si>
  <si>
    <t>COUNT FUNCTION</t>
  </si>
  <si>
    <t>COUNTA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</si>
</sst>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6"/>
      <color theme="7" tint="-0.249977111117893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3" tint="9.9978637043366805E-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/>
    <xf numFmtId="9" fontId="0" fillId="0" borderId="0" xfId="0" applyNumberFormat="1"/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8BD03-FC7C-406C-956F-E7A0C0462B84}">
  <dimension ref="A1:M14"/>
  <sheetViews>
    <sheetView workbookViewId="0">
      <selection activeCell="L6" sqref="L6"/>
    </sheetView>
  </sheetViews>
  <sheetFormatPr defaultRowHeight="14.6" x14ac:dyDescent="0.4"/>
  <cols>
    <col min="13" max="13" width="55.15234375" customWidth="1"/>
  </cols>
  <sheetData>
    <row r="1" spans="1:13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3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3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 x14ac:dyDescent="0.4">
      <c r="C4">
        <v>99</v>
      </c>
      <c r="D4">
        <v>99</v>
      </c>
      <c r="E4">
        <v>99</v>
      </c>
      <c r="F4">
        <v>77</v>
      </c>
      <c r="G4">
        <v>78</v>
      </c>
      <c r="H4">
        <f>SUM(C4:G4)</f>
        <v>452</v>
      </c>
      <c r="I4">
        <f>MAX(C4:G4)</f>
        <v>99</v>
      </c>
      <c r="J4">
        <f>AVERAGE(C4:G4)</f>
        <v>90.4</v>
      </c>
      <c r="K4">
        <f>MIN(C4:G4)</f>
        <v>77</v>
      </c>
      <c r="L4" t="str">
        <f>IF(J4&gt;50,"PASS","FAIL")</f>
        <v>PASS</v>
      </c>
      <c r="M4" t="str">
        <f>IF(J4&gt;=90,"A",IF(J4&gt;=80,"B",IF(J4&gt;=70,"C",IF(J4&gt;70,"D",IF(J4&gt;60,"E",IF(J4&lt;60,"F"))))))</f>
        <v>A</v>
      </c>
    </row>
    <row r="5" spans="1:13" x14ac:dyDescent="0.4">
      <c r="C5">
        <v>99</v>
      </c>
      <c r="D5">
        <v>99</v>
      </c>
      <c r="E5">
        <v>99</v>
      </c>
      <c r="F5">
        <v>77</v>
      </c>
      <c r="G5">
        <v>78</v>
      </c>
      <c r="H5">
        <f t="shared" ref="H5:H14" si="0">SUM(C5:G5)</f>
        <v>452</v>
      </c>
      <c r="I5">
        <f t="shared" ref="I5:I14" si="1">MAX(C5:G5)</f>
        <v>99</v>
      </c>
      <c r="J5">
        <f t="shared" ref="J5:J14" si="2">AVERAGE(C5:G5)</f>
        <v>90.4</v>
      </c>
      <c r="K5">
        <f t="shared" ref="K5:K14" si="3">MIN(C5:G5)</f>
        <v>77</v>
      </c>
      <c r="L5" t="str">
        <f>IF(AND(C4&gt;40,D4&gt;40,E4&gt;40,F4&gt;40,G4&gt;40),"PASS","FAIL")</f>
        <v>PASS</v>
      </c>
    </row>
    <row r="6" spans="1:13" x14ac:dyDescent="0.4">
      <c r="H6">
        <f t="shared" si="0"/>
        <v>0</v>
      </c>
      <c r="I6">
        <f t="shared" si="1"/>
        <v>0</v>
      </c>
      <c r="J6" t="e">
        <f t="shared" si="2"/>
        <v>#DIV/0!</v>
      </c>
      <c r="K6">
        <f t="shared" si="3"/>
        <v>0</v>
      </c>
      <c r="L6" t="str">
        <f>IF(OR(C5&gt;=40,D5&gt;=40,E5&gt;=40,F5&gt;=40,G5&gt;=40),"PASS","FAIL")</f>
        <v>PASS</v>
      </c>
    </row>
    <row r="7" spans="1:13" x14ac:dyDescent="0.4">
      <c r="H7">
        <f t="shared" si="0"/>
        <v>0</v>
      </c>
      <c r="I7">
        <f t="shared" si="1"/>
        <v>0</v>
      </c>
      <c r="J7" t="e">
        <f t="shared" si="2"/>
        <v>#DIV/0!</v>
      </c>
      <c r="K7">
        <f t="shared" si="3"/>
        <v>0</v>
      </c>
    </row>
    <row r="8" spans="1:13" x14ac:dyDescent="0.4">
      <c r="H8">
        <f t="shared" si="0"/>
        <v>0</v>
      </c>
      <c r="I8">
        <f t="shared" si="1"/>
        <v>0</v>
      </c>
      <c r="J8" t="e">
        <f t="shared" si="2"/>
        <v>#DIV/0!</v>
      </c>
      <c r="K8">
        <f t="shared" si="3"/>
        <v>0</v>
      </c>
    </row>
    <row r="9" spans="1:13" x14ac:dyDescent="0.4">
      <c r="H9">
        <f t="shared" si="0"/>
        <v>0</v>
      </c>
      <c r="I9">
        <f t="shared" si="1"/>
        <v>0</v>
      </c>
      <c r="J9" t="e">
        <f t="shared" si="2"/>
        <v>#DIV/0!</v>
      </c>
      <c r="K9">
        <f t="shared" si="3"/>
        <v>0</v>
      </c>
    </row>
    <row r="10" spans="1:13" x14ac:dyDescent="0.4">
      <c r="H10">
        <f t="shared" si="0"/>
        <v>0</v>
      </c>
      <c r="I10">
        <f t="shared" si="1"/>
        <v>0</v>
      </c>
      <c r="J10" t="e">
        <f t="shared" si="2"/>
        <v>#DIV/0!</v>
      </c>
      <c r="K10">
        <f t="shared" si="3"/>
        <v>0</v>
      </c>
    </row>
    <row r="11" spans="1:13" x14ac:dyDescent="0.4">
      <c r="H11">
        <f t="shared" si="0"/>
        <v>0</v>
      </c>
      <c r="I11">
        <f t="shared" si="1"/>
        <v>0</v>
      </c>
      <c r="J11" t="e">
        <f t="shared" si="2"/>
        <v>#DIV/0!</v>
      </c>
      <c r="K11">
        <f t="shared" si="3"/>
        <v>0</v>
      </c>
    </row>
    <row r="12" spans="1:13" x14ac:dyDescent="0.4">
      <c r="H12">
        <f t="shared" si="0"/>
        <v>0</v>
      </c>
      <c r="I12">
        <f t="shared" si="1"/>
        <v>0</v>
      </c>
      <c r="J12" t="e">
        <f t="shared" si="2"/>
        <v>#DIV/0!</v>
      </c>
      <c r="K12">
        <f t="shared" si="3"/>
        <v>0</v>
      </c>
    </row>
    <row r="13" spans="1:13" x14ac:dyDescent="0.4">
      <c r="H13">
        <f t="shared" si="0"/>
        <v>0</v>
      </c>
      <c r="I13">
        <f t="shared" si="1"/>
        <v>0</v>
      </c>
      <c r="J13" t="e">
        <f t="shared" si="2"/>
        <v>#DIV/0!</v>
      </c>
      <c r="K13">
        <f t="shared" si="3"/>
        <v>0</v>
      </c>
    </row>
    <row r="14" spans="1:13" x14ac:dyDescent="0.4">
      <c r="H14">
        <f t="shared" si="0"/>
        <v>0</v>
      </c>
      <c r="I14">
        <f t="shared" si="1"/>
        <v>0</v>
      </c>
      <c r="J14" t="e">
        <f t="shared" si="2"/>
        <v>#DIV/0!</v>
      </c>
      <c r="K14">
        <f t="shared" si="3"/>
        <v>0</v>
      </c>
    </row>
  </sheetData>
  <mergeCells count="1">
    <mergeCell ref="A1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A28-02E5-4CA5-9116-67903D96DDE5}">
  <dimension ref="A1:Q26"/>
  <sheetViews>
    <sheetView workbookViewId="0">
      <selection activeCell="H13" sqref="H13"/>
    </sheetView>
  </sheetViews>
  <sheetFormatPr defaultRowHeight="14.6" x14ac:dyDescent="0.4"/>
  <cols>
    <col min="1" max="1" width="19.69140625" customWidth="1"/>
    <col min="2" max="2" width="14.765625" customWidth="1"/>
    <col min="3" max="3" width="11.15234375" customWidth="1"/>
    <col min="4" max="5" width="15.23046875" customWidth="1"/>
    <col min="6" max="6" width="17.53515625" customWidth="1"/>
    <col min="7" max="7" width="18.15234375" customWidth="1"/>
    <col min="8" max="8" width="19.61328125" customWidth="1"/>
  </cols>
  <sheetData>
    <row r="1" spans="1:17" x14ac:dyDescent="0.4">
      <c r="A1" s="2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x14ac:dyDescent="0.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x14ac:dyDescent="0.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s="4" customFormat="1" ht="20.6" x14ac:dyDescent="0.55000000000000004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s="4" customFormat="1" ht="20.6" x14ac:dyDescent="0.55000000000000004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s="4" customFormat="1" ht="20.6" x14ac:dyDescent="0.55000000000000004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x14ac:dyDescent="0.4">
      <c r="A10" t="s">
        <v>15</v>
      </c>
      <c r="B10" t="s">
        <v>16</v>
      </c>
      <c r="C10" t="s">
        <v>17</v>
      </c>
      <c r="D10" t="s">
        <v>18</v>
      </c>
      <c r="E10" t="s">
        <v>26</v>
      </c>
      <c r="F10" t="s">
        <v>19</v>
      </c>
      <c r="G10" t="s">
        <v>20</v>
      </c>
      <c r="H10" t="s">
        <v>21</v>
      </c>
    </row>
    <row r="11" spans="1:17" x14ac:dyDescent="0.4">
      <c r="A11">
        <v>101</v>
      </c>
      <c r="B11">
        <v>200</v>
      </c>
      <c r="C11">
        <v>5</v>
      </c>
      <c r="D11" t="s">
        <v>22</v>
      </c>
      <c r="E11" t="s">
        <v>27</v>
      </c>
      <c r="F11">
        <f>B11*C11</f>
        <v>1000</v>
      </c>
      <c r="G11">
        <f>F11*5%</f>
        <v>50</v>
      </c>
      <c r="H11">
        <f>F11-G11</f>
        <v>950</v>
      </c>
    </row>
    <row r="12" spans="1:17" x14ac:dyDescent="0.4">
      <c r="A12">
        <v>102</v>
      </c>
      <c r="B12">
        <v>400</v>
      </c>
      <c r="C12">
        <v>4</v>
      </c>
      <c r="D12" t="s">
        <v>23</v>
      </c>
      <c r="E12" t="s">
        <v>28</v>
      </c>
      <c r="F12">
        <f>B12*C12</f>
        <v>1600</v>
      </c>
      <c r="G12">
        <f>F12*5%</f>
        <v>80</v>
      </c>
      <c r="H12">
        <f>F12-G12</f>
        <v>1520</v>
      </c>
    </row>
    <row r="13" spans="1:17" x14ac:dyDescent="0.4">
      <c r="A13">
        <v>103</v>
      </c>
      <c r="B13">
        <v>600</v>
      </c>
      <c r="C13">
        <v>7</v>
      </c>
      <c r="D13" t="s">
        <v>30</v>
      </c>
      <c r="E13" t="s">
        <v>27</v>
      </c>
      <c r="F13">
        <f>B13*C13</f>
        <v>4200</v>
      </c>
      <c r="G13">
        <f>IF(E13="STUDENT",F13*5%,IF(E13="TEACHER",F13*10%,IF(E13="STAFF",F13*15%)))</f>
        <v>210</v>
      </c>
      <c r="H13">
        <f>F13-G13</f>
        <v>3990</v>
      </c>
    </row>
    <row r="14" spans="1:17" x14ac:dyDescent="0.4">
      <c r="E14" t="s">
        <v>28</v>
      </c>
    </row>
    <row r="15" spans="1:17" x14ac:dyDescent="0.4">
      <c r="E15" t="s">
        <v>29</v>
      </c>
      <c r="G15" t="s">
        <v>24</v>
      </c>
    </row>
    <row r="16" spans="1:17" x14ac:dyDescent="0.4">
      <c r="A16">
        <v>109</v>
      </c>
      <c r="B16">
        <v>300</v>
      </c>
      <c r="C16">
        <v>10</v>
      </c>
      <c r="D16" t="s">
        <v>25</v>
      </c>
      <c r="E16" t="s">
        <v>27</v>
      </c>
      <c r="F16">
        <f>B16*C16</f>
        <v>3000</v>
      </c>
      <c r="G16">
        <f>IF(F16&lt;500,F16*5%,F16*10%)</f>
        <v>300</v>
      </c>
    </row>
    <row r="17" spans="5:6" x14ac:dyDescent="0.4">
      <c r="E17" t="s">
        <v>28</v>
      </c>
    </row>
    <row r="18" spans="5:6" x14ac:dyDescent="0.4">
      <c r="E18" t="s">
        <v>29</v>
      </c>
    </row>
    <row r="19" spans="5:6" x14ac:dyDescent="0.4">
      <c r="E19" t="s">
        <v>27</v>
      </c>
    </row>
    <row r="20" spans="5:6" x14ac:dyDescent="0.4">
      <c r="E20" t="s">
        <v>29</v>
      </c>
    </row>
    <row r="24" spans="5:6" x14ac:dyDescent="0.4">
      <c r="E24" t="s">
        <v>27</v>
      </c>
      <c r="F24" s="5">
        <v>0.05</v>
      </c>
    </row>
    <row r="25" spans="5:6" x14ac:dyDescent="0.4">
      <c r="E25" t="s">
        <v>28</v>
      </c>
      <c r="F25" s="5">
        <v>0.1</v>
      </c>
    </row>
    <row r="26" spans="5:6" x14ac:dyDescent="0.4">
      <c r="E26" t="s">
        <v>29</v>
      </c>
      <c r="F26" s="5">
        <v>0.15</v>
      </c>
    </row>
  </sheetData>
  <mergeCells count="1">
    <mergeCell ref="A1:Q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883B3-DEED-4045-8F1A-9198BD006EB2}">
  <dimension ref="A1:R27"/>
  <sheetViews>
    <sheetView topLeftCell="A8" zoomScaleNormal="100" workbookViewId="0">
      <selection activeCell="L28" sqref="L28"/>
    </sheetView>
  </sheetViews>
  <sheetFormatPr defaultRowHeight="14.6" x14ac:dyDescent="0.4"/>
  <cols>
    <col min="1" max="1" width="6.3046875" bestFit="1" customWidth="1"/>
    <col min="2" max="2" width="5.69140625" bestFit="1" customWidth="1"/>
    <col min="3" max="3" width="5.765625" bestFit="1" customWidth="1"/>
    <col min="4" max="4" width="10.84375" bestFit="1" customWidth="1"/>
    <col min="5" max="5" width="27.3828125" bestFit="1" customWidth="1"/>
    <col min="6" max="6" width="10.23046875" bestFit="1" customWidth="1"/>
    <col min="7" max="7" width="22.69140625" bestFit="1" customWidth="1"/>
    <col min="8" max="8" width="30.69140625" bestFit="1" customWidth="1"/>
    <col min="9" max="9" width="7.61328125" bestFit="1" customWidth="1"/>
    <col min="10" max="10" width="21.921875" bestFit="1" customWidth="1"/>
    <col min="11" max="11" width="14.23046875" customWidth="1"/>
    <col min="12" max="12" width="25" bestFit="1" customWidth="1"/>
  </cols>
  <sheetData>
    <row r="1" spans="1:18" x14ac:dyDescent="0.4">
      <c r="A1" s="6" t="s">
        <v>41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x14ac:dyDescent="0.4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 x14ac:dyDescent="0.4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x14ac:dyDescent="0.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18" x14ac:dyDescent="0.4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spans="1:18" x14ac:dyDescent="0.4">
      <c r="A6" t="s">
        <v>31</v>
      </c>
      <c r="B6" t="s">
        <v>32</v>
      </c>
      <c r="C6" t="s">
        <v>33</v>
      </c>
      <c r="E6" t="s">
        <v>34</v>
      </c>
      <c r="G6" t="s">
        <v>35</v>
      </c>
      <c r="H6" t="s">
        <v>36</v>
      </c>
      <c r="I6" t="s">
        <v>37</v>
      </c>
      <c r="J6" t="s">
        <v>38</v>
      </c>
      <c r="L6" t="s">
        <v>39</v>
      </c>
    </row>
    <row r="7" spans="1:18" x14ac:dyDescent="0.4">
      <c r="A7">
        <v>101</v>
      </c>
      <c r="B7" t="s">
        <v>40</v>
      </c>
      <c r="C7">
        <v>2000</v>
      </c>
      <c r="E7">
        <f>C7*10%</f>
        <v>200</v>
      </c>
      <c r="G7">
        <f>C7*12%</f>
        <v>240</v>
      </c>
      <c r="H7">
        <f>C7*15%</f>
        <v>300</v>
      </c>
      <c r="I7">
        <f>C7*20%</f>
        <v>400</v>
      </c>
      <c r="J7">
        <f>SUM(C7:H7)</f>
        <v>2740</v>
      </c>
      <c r="L7">
        <f>J7-I7</f>
        <v>2340</v>
      </c>
    </row>
    <row r="8" spans="1:18" x14ac:dyDescent="0.4">
      <c r="G8">
        <f>C8*12%</f>
        <v>0</v>
      </c>
      <c r="H8">
        <f>C8*15%</f>
        <v>0</v>
      </c>
      <c r="I8">
        <f>C8*20%</f>
        <v>0</v>
      </c>
      <c r="J8">
        <f>SUM(C8:H8)</f>
        <v>0</v>
      </c>
      <c r="L8">
        <f>J8-I8</f>
        <v>0</v>
      </c>
    </row>
    <row r="9" spans="1:18" x14ac:dyDescent="0.4">
      <c r="G9">
        <f>C9*12%</f>
        <v>0</v>
      </c>
      <c r="H9">
        <f>C9*15%</f>
        <v>0</v>
      </c>
      <c r="I9">
        <f>C9*20%</f>
        <v>0</v>
      </c>
      <c r="J9">
        <f>SUM(C9:H9)</f>
        <v>0</v>
      </c>
      <c r="L9">
        <f>J9-I9</f>
        <v>0</v>
      </c>
    </row>
    <row r="10" spans="1:18" x14ac:dyDescent="0.4">
      <c r="A10" s="6" t="s">
        <v>42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 spans="1:18" x14ac:dyDescent="0.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spans="1:18" x14ac:dyDescent="0.4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 spans="1:18" x14ac:dyDescent="0.4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</row>
    <row r="14" spans="1:18" x14ac:dyDescent="0.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 spans="1:18" x14ac:dyDescent="0.4">
      <c r="A15" t="s">
        <v>31</v>
      </c>
      <c r="B15" t="s">
        <v>32</v>
      </c>
      <c r="C15" t="s">
        <v>33</v>
      </c>
      <c r="D15" t="s">
        <v>43</v>
      </c>
      <c r="E15" t="s">
        <v>34</v>
      </c>
      <c r="G15" t="s">
        <v>35</v>
      </c>
      <c r="H15" t="s">
        <v>36</v>
      </c>
      <c r="I15" t="s">
        <v>37</v>
      </c>
      <c r="J15" t="s">
        <v>38</v>
      </c>
      <c r="L15" t="s">
        <v>39</v>
      </c>
    </row>
    <row r="16" spans="1:18" x14ac:dyDescent="0.4">
      <c r="A16">
        <v>101</v>
      </c>
      <c r="B16" t="s">
        <v>40</v>
      </c>
      <c r="C16">
        <v>2000</v>
      </c>
      <c r="D16" t="s">
        <v>44</v>
      </c>
      <c r="E16">
        <f>C16*10%</f>
        <v>200</v>
      </c>
      <c r="G16">
        <f>C16*12%</f>
        <v>240</v>
      </c>
      <c r="H16">
        <f>C16*15%</f>
        <v>300</v>
      </c>
      <c r="I16">
        <f>C16*20%</f>
        <v>400</v>
      </c>
      <c r="J16">
        <f>SUM(C16:H16)</f>
        <v>2740</v>
      </c>
      <c r="L16">
        <f>J16-I16</f>
        <v>2340</v>
      </c>
    </row>
    <row r="17" spans="1:18" x14ac:dyDescent="0.4">
      <c r="D17" t="s">
        <v>45</v>
      </c>
    </row>
    <row r="18" spans="1:18" x14ac:dyDescent="0.4">
      <c r="E18" t="s">
        <v>46</v>
      </c>
      <c r="G18" t="s">
        <v>47</v>
      </c>
      <c r="H18" t="s">
        <v>48</v>
      </c>
    </row>
    <row r="19" spans="1:18" x14ac:dyDescent="0.4">
      <c r="A19">
        <v>102</v>
      </c>
      <c r="B19" t="s">
        <v>49</v>
      </c>
      <c r="C19">
        <v>2000</v>
      </c>
      <c r="D19" t="s">
        <v>44</v>
      </c>
      <c r="E19">
        <f>IF(C19&lt;=5000,C19*5%,C19*10%)</f>
        <v>100</v>
      </c>
      <c r="G19">
        <f>IF(D19="METRO",C19*5%,IF(D19="NON METRO",C19*10%))</f>
        <v>100</v>
      </c>
      <c r="H19">
        <f>IF(C19&lt;=5000,500,C19*12%)</f>
        <v>500</v>
      </c>
      <c r="I19">
        <f>C19*20%</f>
        <v>400</v>
      </c>
      <c r="J19">
        <f>SUM(C19:H19)</f>
        <v>2700</v>
      </c>
      <c r="L19">
        <f>J19-I19</f>
        <v>2300</v>
      </c>
    </row>
    <row r="20" spans="1:18" x14ac:dyDescent="0.4">
      <c r="A20" s="6" t="s">
        <v>42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</row>
    <row r="21" spans="1:18" x14ac:dyDescent="0.4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</row>
    <row r="22" spans="1:18" x14ac:dyDescent="0.4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</row>
    <row r="23" spans="1:18" x14ac:dyDescent="0.4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</row>
    <row r="24" spans="1:18" x14ac:dyDescent="0.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</row>
    <row r="25" spans="1:18" x14ac:dyDescent="0.4">
      <c r="A25" t="s">
        <v>31</v>
      </c>
      <c r="B25" t="s">
        <v>32</v>
      </c>
      <c r="C25" t="s">
        <v>33</v>
      </c>
      <c r="D25" t="s">
        <v>43</v>
      </c>
      <c r="E25" t="s">
        <v>34</v>
      </c>
      <c r="F25" t="s">
        <v>50</v>
      </c>
      <c r="G25" t="s">
        <v>35</v>
      </c>
      <c r="H25" t="s">
        <v>36</v>
      </c>
      <c r="I25" t="s">
        <v>37</v>
      </c>
      <c r="J25" t="s">
        <v>38</v>
      </c>
      <c r="K25" t="s">
        <v>51</v>
      </c>
      <c r="L25" t="s">
        <v>39</v>
      </c>
    </row>
    <row r="26" spans="1:18" x14ac:dyDescent="0.4">
      <c r="K26" t="s">
        <v>52</v>
      </c>
      <c r="L26" t="s">
        <v>53</v>
      </c>
    </row>
    <row r="27" spans="1:18" x14ac:dyDescent="0.4">
      <c r="A27">
        <v>101</v>
      </c>
      <c r="B27" t="s">
        <v>40</v>
      </c>
      <c r="C27">
        <v>2000</v>
      </c>
      <c r="D27" t="s">
        <v>44</v>
      </c>
      <c r="E27">
        <f>C27*10%</f>
        <v>200</v>
      </c>
      <c r="F27">
        <v>6</v>
      </c>
      <c r="G27">
        <f>C27*12%</f>
        <v>240</v>
      </c>
      <c r="H27">
        <f>C27*15%</f>
        <v>300</v>
      </c>
      <c r="I27">
        <f>C27*20%</f>
        <v>400</v>
      </c>
      <c r="J27">
        <f>SUM(C27:H27)</f>
        <v>2746</v>
      </c>
      <c r="K27">
        <f>(J27/30)*F27</f>
        <v>549.20000000000005</v>
      </c>
      <c r="L27">
        <f>J27-(K27+I27)</f>
        <v>1796.8</v>
      </c>
    </row>
  </sheetData>
  <mergeCells count="3">
    <mergeCell ref="A1:R5"/>
    <mergeCell ref="A10:R14"/>
    <mergeCell ref="A20:R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1F937-539A-4AA1-8BB4-978C493D760E}">
  <dimension ref="B2:M18"/>
  <sheetViews>
    <sheetView tabSelected="1" workbookViewId="0">
      <selection activeCell="D23" sqref="D23"/>
    </sheetView>
  </sheetViews>
  <sheetFormatPr defaultRowHeight="14.6" x14ac:dyDescent="0.4"/>
  <cols>
    <col min="2" max="2" width="17" bestFit="1" customWidth="1"/>
    <col min="3" max="3" width="7.84375" bestFit="1" customWidth="1"/>
    <col min="4" max="4" width="32.15234375" bestFit="1" customWidth="1"/>
    <col min="5" max="5" width="23.07421875" bestFit="1" customWidth="1"/>
    <col min="6" max="6" width="11.69140625" bestFit="1" customWidth="1"/>
    <col min="8" max="8" width="7.07421875" bestFit="1" customWidth="1"/>
    <col min="9" max="9" width="32.3828125" bestFit="1" customWidth="1"/>
    <col min="10" max="10" width="12.765625" bestFit="1" customWidth="1"/>
    <col min="11" max="11" width="11.84375" bestFit="1" customWidth="1"/>
  </cols>
  <sheetData>
    <row r="2" spans="2:13" x14ac:dyDescent="0.4">
      <c r="B2" t="s">
        <v>55</v>
      </c>
      <c r="C2" t="s">
        <v>54</v>
      </c>
      <c r="D2" t="s">
        <v>56</v>
      </c>
      <c r="E2" t="s">
        <v>65</v>
      </c>
      <c r="F2" t="s">
        <v>73</v>
      </c>
      <c r="G2" t="s">
        <v>74</v>
      </c>
      <c r="H2" t="s">
        <v>75</v>
      </c>
    </row>
    <row r="7" spans="2:13" x14ac:dyDescent="0.4">
      <c r="B7" t="s">
        <v>76</v>
      </c>
      <c r="D7" t="s">
        <v>57</v>
      </c>
      <c r="F7" t="s">
        <v>58</v>
      </c>
      <c r="H7" t="s">
        <v>60</v>
      </c>
      <c r="J7" t="s">
        <v>66</v>
      </c>
      <c r="K7" t="s">
        <v>67</v>
      </c>
      <c r="L7" t="s">
        <v>71</v>
      </c>
      <c r="M7" t="s">
        <v>72</v>
      </c>
    </row>
    <row r="8" spans="2:13" x14ac:dyDescent="0.4">
      <c r="B8" t="s">
        <v>77</v>
      </c>
      <c r="D8">
        <v>2000</v>
      </c>
      <c r="F8">
        <v>30</v>
      </c>
      <c r="H8" t="s">
        <v>61</v>
      </c>
      <c r="J8">
        <v>18</v>
      </c>
      <c r="K8" t="s">
        <v>68</v>
      </c>
      <c r="L8">
        <v>500</v>
      </c>
      <c r="M8">
        <v>3</v>
      </c>
    </row>
    <row r="9" spans="2:13" x14ac:dyDescent="0.4">
      <c r="B9">
        <v>200</v>
      </c>
      <c r="D9">
        <v>4000</v>
      </c>
      <c r="F9">
        <v>50</v>
      </c>
      <c r="H9" t="s">
        <v>61</v>
      </c>
      <c r="J9">
        <v>20</v>
      </c>
      <c r="K9" t="s">
        <v>69</v>
      </c>
      <c r="L9">
        <v>700</v>
      </c>
      <c r="M9">
        <v>5</v>
      </c>
    </row>
    <row r="10" spans="2:13" x14ac:dyDescent="0.4">
      <c r="B10" t="s">
        <v>78</v>
      </c>
      <c r="D10">
        <v>60000</v>
      </c>
      <c r="F10">
        <v>70</v>
      </c>
      <c r="H10" t="s">
        <v>62</v>
      </c>
      <c r="J10">
        <v>22</v>
      </c>
      <c r="K10" t="s">
        <v>68</v>
      </c>
      <c r="L10">
        <v>650</v>
      </c>
      <c r="M10">
        <v>2</v>
      </c>
    </row>
    <row r="11" spans="2:13" x14ac:dyDescent="0.4">
      <c r="B11">
        <v>300</v>
      </c>
      <c r="D11">
        <v>10000</v>
      </c>
      <c r="F11">
        <v>20</v>
      </c>
      <c r="H11" t="s">
        <v>62</v>
      </c>
      <c r="J11">
        <v>16</v>
      </c>
      <c r="K11" t="s">
        <v>68</v>
      </c>
      <c r="L11">
        <v>550</v>
      </c>
      <c r="M11">
        <v>7</v>
      </c>
    </row>
    <row r="12" spans="2:13" x14ac:dyDescent="0.4">
      <c r="B12" t="s">
        <v>79</v>
      </c>
      <c r="D12">
        <v>7000</v>
      </c>
      <c r="F12">
        <v>40</v>
      </c>
      <c r="H12" t="s">
        <v>62</v>
      </c>
      <c r="J12">
        <v>26</v>
      </c>
      <c r="K12" t="s">
        <v>69</v>
      </c>
      <c r="L12">
        <v>750</v>
      </c>
      <c r="M12">
        <v>4</v>
      </c>
    </row>
    <row r="13" spans="2:13" x14ac:dyDescent="0.4">
      <c r="B13">
        <v>400</v>
      </c>
      <c r="D13">
        <v>9000</v>
      </c>
      <c r="F13">
        <v>10</v>
      </c>
      <c r="H13" t="s">
        <v>61</v>
      </c>
      <c r="J13">
        <v>45</v>
      </c>
      <c r="K13" t="s">
        <v>69</v>
      </c>
      <c r="L13">
        <v>781</v>
      </c>
      <c r="M13">
        <v>3</v>
      </c>
    </row>
    <row r="14" spans="2:13" x14ac:dyDescent="0.4">
      <c r="B14" t="s">
        <v>80</v>
      </c>
      <c r="D14">
        <f>COUNTIF(D8:D13,"&gt;4000")</f>
        <v>4</v>
      </c>
      <c r="F14">
        <v>70</v>
      </c>
      <c r="H14" t="s">
        <v>62</v>
      </c>
      <c r="K14" t="s">
        <v>70</v>
      </c>
      <c r="M14">
        <f>COUNTIFS(L8:L13,"&gt;=600",M8:M13,"&gt;=3")</f>
        <v>3</v>
      </c>
    </row>
    <row r="15" spans="2:13" x14ac:dyDescent="0.4">
      <c r="B15">
        <f>COUNT(B8:B13)</f>
        <v>3</v>
      </c>
      <c r="F15" t="s">
        <v>59</v>
      </c>
      <c r="H15" t="s">
        <v>62</v>
      </c>
      <c r="K15">
        <f>COUNTIFS(K8:K13,"=FEMALE",J8:J13,"&gt;18")</f>
        <v>3</v>
      </c>
    </row>
    <row r="16" spans="2:13" x14ac:dyDescent="0.4">
      <c r="B16" t="s">
        <v>81</v>
      </c>
      <c r="D16">
        <f>COUNTIF(F8:F14,"&gt;40")</f>
        <v>3</v>
      </c>
      <c r="F16" t="s">
        <v>61</v>
      </c>
    </row>
    <row r="17" spans="2:6" x14ac:dyDescent="0.4">
      <c r="B17">
        <f>COUNTA(B8:B13)</f>
        <v>6</v>
      </c>
      <c r="E17" t="s">
        <v>63</v>
      </c>
      <c r="F17">
        <f>COUNTIF(F8:F16,"=P")</f>
        <v>1</v>
      </c>
    </row>
    <row r="18" spans="2:6" x14ac:dyDescent="0.4">
      <c r="E18" t="s">
        <v>64</v>
      </c>
      <c r="F18">
        <f>COUNTIF(F8:F16,"=A")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Soutrik Saha</dc:creator>
  <cp:lastModifiedBy>Soutrik Saha</cp:lastModifiedBy>
  <dcterms:created xsi:type="dcterms:W3CDTF">2026-08-30T10:51:26Z</dcterms:created>
  <dcterms:modified xsi:type="dcterms:W3CDTF">2026-08-30T14:02:25Z</dcterms:modified>
</cp:coreProperties>
</file>