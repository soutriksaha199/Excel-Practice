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dee19ef2dee78fd/Desktop/Excel-Practice-main/"/>
    </mc:Choice>
  </mc:AlternateContent>
  <xr:revisionPtr revIDLastSave="100" documentId="13_ncr:1_{AFAF53C5-B5E5-4181-A077-0AB126F6D1F1}" xr6:coauthVersionLast="47" xr6:coauthVersionMax="47" xr10:uidLastSave="{E19F299B-0C93-4650-8C95-C5B8202C14A4}"/>
  <bookViews>
    <workbookView xWindow="-108" yWindow="-108" windowWidth="23256" windowHeight="13896" firstSheet="5" activeTab="8" xr2:uid="{F284257B-9CBC-40AE-8299-3485D57C5799}"/>
  </bookViews>
  <sheets>
    <sheet name="Sheet1" sheetId="1" r:id="rId1"/>
    <sheet name="Sheet2" sheetId="2" r:id="rId2"/>
    <sheet name="Sheet3" sheetId="3" r:id="rId3"/>
    <sheet name="Sheet4" sheetId="4" r:id="rId4"/>
    <sheet name="05.09.2026 Part1" sheetId="5" r:id="rId5"/>
    <sheet name="05.09.2026 Part2 Practice Sheet" sheetId="6" r:id="rId6"/>
    <sheet name="06.09.2026 Part1" sheetId="7" r:id="rId7"/>
    <sheet name="06.09.2026 Part2" sheetId="8" r:id="rId8"/>
    <sheet name="06.09.2026 Part3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5" i="8" l="1"/>
  <c r="W25" i="8"/>
  <c r="V25" i="8"/>
  <c r="X24" i="8"/>
  <c r="W24" i="8"/>
  <c r="V24" i="8"/>
  <c r="H118" i="5"/>
  <c r="G31" i="5"/>
  <c r="U25" i="8"/>
  <c r="U24" i="8"/>
  <c r="U23" i="8"/>
  <c r="U22" i="8"/>
  <c r="Y19" i="8"/>
  <c r="Y18" i="8"/>
  <c r="AF17" i="8"/>
  <c r="Y17" i="8"/>
  <c r="AA16" i="8"/>
  <c r="Y16" i="8"/>
  <c r="AA15" i="8"/>
  <c r="Y15" i="8"/>
  <c r="AA14" i="8"/>
  <c r="AB13" i="8"/>
  <c r="AA13" i="8"/>
  <c r="Y13" i="8"/>
  <c r="AD12" i="8"/>
  <c r="AE12" i="8" s="1"/>
  <c r="AC12" i="8"/>
  <c r="AB12" i="8"/>
  <c r="AA12" i="8"/>
  <c r="Y12" i="8"/>
  <c r="W12" i="8"/>
  <c r="U12" i="8"/>
  <c r="T12" i="8"/>
  <c r="R121" i="7"/>
  <c r="R117" i="7"/>
  <c r="D58" i="8"/>
  <c r="C58" i="8"/>
  <c r="B58" i="8"/>
  <c r="T59" i="8"/>
  <c r="T58" i="8"/>
  <c r="T57" i="8"/>
  <c r="T56" i="8"/>
  <c r="F7" i="9"/>
  <c r="C3" i="9"/>
  <c r="W3" i="8"/>
  <c r="X3" i="8" s="1"/>
  <c r="V3" i="8"/>
  <c r="T3" i="8"/>
  <c r="S3" i="8"/>
  <c r="Q4" i="8"/>
  <c r="R4" i="8"/>
  <c r="Q5" i="8"/>
  <c r="R5" i="8"/>
  <c r="Q6" i="8"/>
  <c r="R6" i="8"/>
  <c r="Q7" i="8"/>
  <c r="R7" i="8"/>
  <c r="Q8" i="8"/>
  <c r="R8" i="8"/>
  <c r="Q9" i="8"/>
  <c r="R9" i="8"/>
  <c r="Q10" i="8"/>
  <c r="R10" i="8"/>
  <c r="Q11" i="8"/>
  <c r="R11" i="8"/>
  <c r="Q12" i="8"/>
  <c r="R12" i="8"/>
  <c r="Q13" i="8"/>
  <c r="R13" i="8"/>
  <c r="Q14" i="8"/>
  <c r="R14" i="8"/>
  <c r="Q15" i="8"/>
  <c r="R15" i="8"/>
  <c r="Q16" i="8"/>
  <c r="R16" i="8"/>
  <c r="Q17" i="8"/>
  <c r="R17" i="8"/>
  <c r="Q18" i="8"/>
  <c r="R18" i="8"/>
  <c r="Q19" i="8"/>
  <c r="R19" i="8"/>
  <c r="Q20" i="8"/>
  <c r="R20" i="8"/>
  <c r="Q21" i="8"/>
  <c r="R21" i="8"/>
  <c r="Q22" i="8"/>
  <c r="R22" i="8"/>
  <c r="Q23" i="8"/>
  <c r="R23" i="8"/>
  <c r="Q24" i="8"/>
  <c r="R24" i="8"/>
  <c r="Q25" i="8"/>
  <c r="R25" i="8"/>
  <c r="Q26" i="8"/>
  <c r="R26" i="8"/>
  <c r="Q27" i="8"/>
  <c r="R27" i="8"/>
  <c r="Q28" i="8"/>
  <c r="R28" i="8"/>
  <c r="Q29" i="8"/>
  <c r="R29" i="8"/>
  <c r="Q30" i="8"/>
  <c r="R30" i="8"/>
  <c r="Q31" i="8"/>
  <c r="R31" i="8"/>
  <c r="Q32" i="8"/>
  <c r="R32" i="8"/>
  <c r="Q33" i="8"/>
  <c r="R33" i="8"/>
  <c r="Q34" i="8"/>
  <c r="R34" i="8"/>
  <c r="Q35" i="8"/>
  <c r="R35" i="8"/>
  <c r="Q36" i="8"/>
  <c r="R36" i="8"/>
  <c r="Q37" i="8"/>
  <c r="R37" i="8"/>
  <c r="Q38" i="8"/>
  <c r="R38" i="8"/>
  <c r="Q39" i="8"/>
  <c r="R39" i="8"/>
  <c r="Q40" i="8"/>
  <c r="R40" i="8"/>
  <c r="Q41" i="8"/>
  <c r="R41" i="8"/>
  <c r="Q42" i="8"/>
  <c r="R42" i="8"/>
  <c r="Q43" i="8"/>
  <c r="R43" i="8"/>
  <c r="Q44" i="8"/>
  <c r="R44" i="8"/>
  <c r="Q45" i="8"/>
  <c r="R45" i="8"/>
  <c r="Q46" i="8"/>
  <c r="R46" i="8"/>
  <c r="Q47" i="8"/>
  <c r="R47" i="8"/>
  <c r="Q48" i="8"/>
  <c r="R48" i="8"/>
  <c r="Q49" i="8"/>
  <c r="R49" i="8"/>
  <c r="Q50" i="8"/>
  <c r="R50" i="8"/>
  <c r="Q51" i="8"/>
  <c r="R51" i="8"/>
  <c r="Q52" i="8"/>
  <c r="R52" i="8"/>
  <c r="R3" i="8"/>
  <c r="Q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3" i="8"/>
  <c r="R114" i="7"/>
  <c r="T110" i="7"/>
  <c r="T109" i="7"/>
  <c r="T108" i="7"/>
  <c r="T107" i="7"/>
  <c r="T106" i="7"/>
  <c r="S110" i="7"/>
  <c r="S109" i="7"/>
  <c r="S108" i="7"/>
  <c r="S107" i="7"/>
  <c r="S106" i="7"/>
  <c r="T105" i="7"/>
  <c r="T104" i="7"/>
  <c r="T103" i="7"/>
  <c r="T102" i="7"/>
  <c r="T101" i="7"/>
  <c r="T100" i="7"/>
  <c r="S105" i="7"/>
  <c r="S104" i="7"/>
  <c r="S103" i="7"/>
  <c r="S102" i="7"/>
  <c r="S101" i="7"/>
  <c r="S100" i="7"/>
  <c r="I17" i="7"/>
  <c r="I16" i="7"/>
  <c r="I13" i="7"/>
  <c r="I10" i="7"/>
  <c r="I7" i="7"/>
  <c r="I6" i="7"/>
  <c r="I4" i="7"/>
  <c r="B1" i="7"/>
  <c r="O11" i="6"/>
  <c r="O12" i="6"/>
  <c r="O4" i="6"/>
  <c r="O5" i="6"/>
  <c r="O3" i="6"/>
  <c r="N5" i="6"/>
  <c r="M5" i="6"/>
  <c r="L5" i="6"/>
  <c r="K5" i="6"/>
  <c r="N12" i="6"/>
  <c r="M12" i="6"/>
  <c r="L12" i="6"/>
  <c r="N11" i="6"/>
  <c r="M11" i="6"/>
  <c r="L11" i="6"/>
  <c r="K12" i="6"/>
  <c r="K11" i="6"/>
  <c r="N4" i="6"/>
  <c r="M4" i="6"/>
  <c r="L4" i="6"/>
  <c r="K4" i="6"/>
  <c r="N3" i="6"/>
  <c r="M3" i="6"/>
  <c r="L3" i="6"/>
  <c r="K3" i="6"/>
  <c r="B37" i="5"/>
  <c r="B35" i="5"/>
  <c r="B32" i="5"/>
  <c r="B30" i="5"/>
  <c r="B28" i="5"/>
  <c r="J32" i="5"/>
  <c r="J29" i="5"/>
  <c r="G32" i="5"/>
  <c r="H29" i="5"/>
  <c r="G29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55" i="5"/>
  <c r="M76" i="5"/>
  <c r="M74" i="5"/>
  <c r="H124" i="5"/>
  <c r="H123" i="5"/>
  <c r="H122" i="5"/>
  <c r="H121" i="5"/>
  <c r="H120" i="5"/>
  <c r="H119" i="5"/>
  <c r="H117" i="5"/>
  <c r="H116" i="5"/>
  <c r="H115" i="5"/>
  <c r="C109" i="5"/>
  <c r="N65" i="5"/>
  <c r="O58" i="5"/>
  <c r="O57" i="5"/>
  <c r="O56" i="5"/>
  <c r="O55" i="5"/>
  <c r="N58" i="5"/>
  <c r="N57" i="5"/>
  <c r="N56" i="5"/>
  <c r="N55" i="5"/>
  <c r="G25" i="5"/>
  <c r="B23" i="5"/>
  <c r="B22" i="5"/>
  <c r="B21" i="5"/>
  <c r="B20" i="5"/>
  <c r="G17" i="5"/>
  <c r="G14" i="5"/>
  <c r="B16" i="5"/>
  <c r="B15" i="5"/>
  <c r="B14" i="5"/>
  <c r="G5" i="5"/>
  <c r="G4" i="5"/>
  <c r="G3" i="5"/>
  <c r="B17" i="4"/>
  <c r="B15" i="4"/>
  <c r="M14" i="4"/>
  <c r="K15" i="4"/>
  <c r="D16" i="4"/>
  <c r="F18" i="4"/>
  <c r="F17" i="4"/>
  <c r="D14" i="4"/>
  <c r="L27" i="3"/>
  <c r="K27" i="3"/>
  <c r="I27" i="3"/>
  <c r="H27" i="3"/>
  <c r="G27" i="3"/>
  <c r="E27" i="3"/>
  <c r="H19" i="3"/>
  <c r="I19" i="3"/>
  <c r="G19" i="3"/>
  <c r="E19" i="3"/>
  <c r="I16" i="3"/>
  <c r="H16" i="3"/>
  <c r="G16" i="3"/>
  <c r="E16" i="3"/>
  <c r="G8" i="3"/>
  <c r="H8" i="3"/>
  <c r="I8" i="3"/>
  <c r="G9" i="3"/>
  <c r="H9" i="3"/>
  <c r="I9" i="3"/>
  <c r="I7" i="3"/>
  <c r="H7" i="3"/>
  <c r="G7" i="3"/>
  <c r="E7" i="3"/>
  <c r="H13" i="2"/>
  <c r="G13" i="2"/>
  <c r="F13" i="2"/>
  <c r="K5" i="1"/>
  <c r="K6" i="1"/>
  <c r="K7" i="1"/>
  <c r="K8" i="1"/>
  <c r="K9" i="1"/>
  <c r="K10" i="1"/>
  <c r="K11" i="1"/>
  <c r="K12" i="1"/>
  <c r="K13" i="1"/>
  <c r="K14" i="1"/>
  <c r="J5" i="1"/>
  <c r="J6" i="1"/>
  <c r="J7" i="1"/>
  <c r="J8" i="1"/>
  <c r="J9" i="1"/>
  <c r="J10" i="1"/>
  <c r="J11" i="1"/>
  <c r="J12" i="1"/>
  <c r="J13" i="1"/>
  <c r="J14" i="1"/>
  <c r="I5" i="1"/>
  <c r="I6" i="1"/>
  <c r="I7" i="1"/>
  <c r="I8" i="1"/>
  <c r="I9" i="1"/>
  <c r="I10" i="1"/>
  <c r="I11" i="1"/>
  <c r="I12" i="1"/>
  <c r="I13" i="1"/>
  <c r="I14" i="1"/>
  <c r="F16" i="2"/>
  <c r="G16" i="2" s="1"/>
  <c r="F12" i="2"/>
  <c r="F11" i="2"/>
  <c r="I4" i="1"/>
  <c r="H5" i="1"/>
  <c r="H6" i="1"/>
  <c r="H7" i="1"/>
  <c r="H8" i="1"/>
  <c r="H9" i="1"/>
  <c r="H10" i="1"/>
  <c r="H11" i="1"/>
  <c r="H12" i="1"/>
  <c r="H13" i="1"/>
  <c r="H14" i="1"/>
  <c r="L6" i="1"/>
  <c r="L5" i="1"/>
  <c r="K4" i="1"/>
  <c r="J4" i="1"/>
  <c r="L4" i="1" s="1"/>
  <c r="H4" i="1"/>
  <c r="AF12" i="8" l="1"/>
  <c r="AG12" i="8"/>
  <c r="Z3" i="8"/>
  <c r="Y4" i="8"/>
  <c r="Y3" i="8"/>
  <c r="U3" i="8"/>
  <c r="J8" i="3"/>
  <c r="L8" i="3" s="1"/>
  <c r="J19" i="3"/>
  <c r="L19" i="3" s="1"/>
  <c r="J27" i="3"/>
  <c r="J16" i="3"/>
  <c r="L16" i="3"/>
  <c r="J7" i="3"/>
  <c r="L7" i="3" s="1"/>
  <c r="J9" i="3"/>
  <c r="L9" i="3" s="1"/>
  <c r="G11" i="2"/>
  <c r="H11" i="2" s="1"/>
  <c r="G12" i="2"/>
  <c r="H12" i="2" s="1"/>
  <c r="M4" i="1"/>
</calcChain>
</file>

<file path=xl/sharedStrings.xml><?xml version="1.0" encoding="utf-8"?>
<sst xmlns="http://schemas.openxmlformats.org/spreadsheetml/2006/main" count="1986" uniqueCount="689">
  <si>
    <t>Student Report Card</t>
  </si>
  <si>
    <t>RollNo</t>
  </si>
  <si>
    <t>Name</t>
  </si>
  <si>
    <t>Excel</t>
  </si>
  <si>
    <t>Python</t>
  </si>
  <si>
    <t>SQL</t>
  </si>
  <si>
    <t>ML</t>
  </si>
  <si>
    <t>GENAI</t>
  </si>
  <si>
    <t>Total Marks</t>
  </si>
  <si>
    <t>Max</t>
  </si>
  <si>
    <t>Avg</t>
  </si>
  <si>
    <t>Min</t>
  </si>
  <si>
    <t>Result</t>
  </si>
  <si>
    <t>Grade</t>
  </si>
  <si>
    <t>BILL CALCULATION</t>
  </si>
  <si>
    <t>ITEM CODE</t>
  </si>
  <si>
    <t>PRICE</t>
  </si>
  <si>
    <t>QTY</t>
  </si>
  <si>
    <t>CITY</t>
  </si>
  <si>
    <t>TOTAL AMOUNT</t>
  </si>
  <si>
    <t>DISSCOUNT</t>
  </si>
  <si>
    <t>TOTAL PAID</t>
  </si>
  <si>
    <t>PUNE</t>
  </si>
  <si>
    <t>CHENNAI</t>
  </si>
  <si>
    <t>IF TOTAL AMOUNT IS &lt;500 DIS IS 5%, &gt;500 Dis 10%)</t>
  </si>
  <si>
    <t>DELHI</t>
  </si>
  <si>
    <t>USER</t>
  </si>
  <si>
    <t>STUDENT</t>
  </si>
  <si>
    <t>TEACHER</t>
  </si>
  <si>
    <t>STAFF</t>
  </si>
  <si>
    <t>KOLKATA</t>
  </si>
  <si>
    <t>EMP IP</t>
  </si>
  <si>
    <t>NAME</t>
  </si>
  <si>
    <t>BASIC</t>
  </si>
  <si>
    <t>HRA(10%)</t>
  </si>
  <si>
    <t>CCA(12%)</t>
  </si>
  <si>
    <t>DA(15%)</t>
  </si>
  <si>
    <t>PF(20%)</t>
  </si>
  <si>
    <t>GS(BASIC+HRA+CCA+DA)</t>
  </si>
  <si>
    <t>NET SALARY(INHAND)(GS-PF)</t>
  </si>
  <si>
    <t>JEET</t>
  </si>
  <si>
    <t>SALARY PAYSLIP1</t>
  </si>
  <si>
    <t>SALARY PAYSLIP2</t>
  </si>
  <si>
    <t>CITY TYPE</t>
  </si>
  <si>
    <t>METRO</t>
  </si>
  <si>
    <t>NON METRO</t>
  </si>
  <si>
    <t>IF BASIC &lt;= 5000 5% OTHER 10%</t>
  </si>
  <si>
    <t>METRO 5% NO METRO 10%</t>
  </si>
  <si>
    <t>BASIC &lt;= 5000 500 OTHER WISE 12%</t>
  </si>
  <si>
    <t>SAM</t>
  </si>
  <si>
    <t>No of Leave</t>
  </si>
  <si>
    <t>Leave Amount</t>
  </si>
  <si>
    <t>2000/30*noL</t>
  </si>
  <si>
    <t>gs-(Lamount-pf)</t>
  </si>
  <si>
    <t>COUNTA</t>
  </si>
  <si>
    <t>COUNT</t>
  </si>
  <si>
    <t>COUNTIF</t>
  </si>
  <si>
    <t>ITEM</t>
  </si>
  <si>
    <t>MARKS</t>
  </si>
  <si>
    <t>count how many students are pass(40)</t>
  </si>
  <si>
    <t>ATTENDENCE</t>
  </si>
  <si>
    <t>P</t>
  </si>
  <si>
    <t>A</t>
  </si>
  <si>
    <t>NO OF STUDENTS PRESENT</t>
  </si>
  <si>
    <t>NO OF STUDENTS ABSENT</t>
  </si>
  <si>
    <t>COUNTIFS</t>
  </si>
  <si>
    <t>AGE</t>
  </si>
  <si>
    <t>GENDER</t>
  </si>
  <si>
    <t>MALE</t>
  </si>
  <si>
    <t>FEMALE</t>
  </si>
  <si>
    <t>COUNT IF FEMALE WITH AGE 18 ABOVE</t>
  </si>
  <si>
    <t>CREDIT SCORE</t>
  </si>
  <si>
    <t>YEARS USING</t>
  </si>
  <si>
    <t>SUM</t>
  </si>
  <si>
    <t>SUMIF</t>
  </si>
  <si>
    <t>SUMIFS</t>
  </si>
  <si>
    <t>FRUITS</t>
  </si>
  <si>
    <t>APPLE</t>
  </si>
  <si>
    <t>KIWI</t>
  </si>
  <si>
    <t>LEMON</t>
  </si>
  <si>
    <t>COUNT FUNCTION</t>
  </si>
  <si>
    <t>COUNTA FUNCTION</t>
  </si>
  <si>
    <t>Product_ID</t>
  </si>
  <si>
    <t>Product_Name</t>
  </si>
  <si>
    <t>Category</t>
  </si>
  <si>
    <t>Unit_Price</t>
  </si>
  <si>
    <t>Supplier</t>
  </si>
  <si>
    <t>P101</t>
  </si>
  <si>
    <t>Laptop</t>
  </si>
  <si>
    <t>Electronics</t>
  </si>
  <si>
    <t>HP</t>
  </si>
  <si>
    <t>P102</t>
  </si>
  <si>
    <t>Keyboard</t>
  </si>
  <si>
    <t>Logitech</t>
  </si>
  <si>
    <t>P103</t>
  </si>
  <si>
    <t>Office Chair</t>
  </si>
  <si>
    <t>Furniture</t>
  </si>
  <si>
    <t>FeatherLite</t>
  </si>
  <si>
    <t>P104</t>
  </si>
  <si>
    <t>Desk</t>
  </si>
  <si>
    <t>IKEA</t>
  </si>
  <si>
    <t>P105</t>
  </si>
  <si>
    <t>Mouse</t>
  </si>
  <si>
    <t>P106</t>
  </si>
  <si>
    <t>Printer</t>
  </si>
  <si>
    <t>Canon</t>
  </si>
  <si>
    <t>P107</t>
  </si>
  <si>
    <t>Monitor</t>
  </si>
  <si>
    <t>Dell</t>
  </si>
  <si>
    <t>P108</t>
  </si>
  <si>
    <t>Bookshelf</t>
  </si>
  <si>
    <t>P109</t>
  </si>
  <si>
    <t>Headphones</t>
  </si>
  <si>
    <t>Sony</t>
  </si>
  <si>
    <t>P110</t>
  </si>
  <si>
    <t>Webcam</t>
  </si>
  <si>
    <t>Lenovo</t>
  </si>
  <si>
    <t>Show the price of P101</t>
  </si>
  <si>
    <t>VLOOKUP</t>
  </si>
  <si>
    <t>Show the Price of Laptop</t>
  </si>
  <si>
    <t>Show the supplier of Mouse</t>
  </si>
  <si>
    <t>Product Name</t>
  </si>
  <si>
    <t>Unit Price</t>
  </si>
  <si>
    <t>Show the Product ID of HP</t>
  </si>
  <si>
    <t>Xlookup</t>
  </si>
  <si>
    <t>EID</t>
  </si>
  <si>
    <t>Age</t>
  </si>
  <si>
    <t>Gender</t>
  </si>
  <si>
    <t>Department</t>
  </si>
  <si>
    <t>Job_Role</t>
  </si>
  <si>
    <t>Salary</t>
  </si>
  <si>
    <t>Experience_Years</t>
  </si>
  <si>
    <t>City</t>
  </si>
  <si>
    <t>Joining_Date</t>
  </si>
  <si>
    <t>Performance_Rating</t>
  </si>
  <si>
    <t>Rahul Sharma</t>
  </si>
  <si>
    <t>Male</t>
  </si>
  <si>
    <t>IT</t>
  </si>
  <si>
    <t>Developer</t>
  </si>
  <si>
    <t>Delhi</t>
  </si>
  <si>
    <t>Priya Verma</t>
  </si>
  <si>
    <t>Female</t>
  </si>
  <si>
    <t>HR</t>
  </si>
  <si>
    <t>HR Manager</t>
  </si>
  <si>
    <t>Mumbai</t>
  </si>
  <si>
    <t>Amit Kumar</t>
  </si>
  <si>
    <t>Finance</t>
  </si>
  <si>
    <t>Accountant</t>
  </si>
  <si>
    <t>Sneha Singh</t>
  </si>
  <si>
    <t>Data Analyst</t>
  </si>
  <si>
    <t>Bangalore</t>
  </si>
  <si>
    <t>Rohit Gupta</t>
  </si>
  <si>
    <t>Sales</t>
  </si>
  <si>
    <t>Sales Manager</t>
  </si>
  <si>
    <t>Pune</t>
  </si>
  <si>
    <t>Neha Kapoor</t>
  </si>
  <si>
    <t>Marketing</t>
  </si>
  <si>
    <t>Executive</t>
  </si>
  <si>
    <t>Vikram Mehta</t>
  </si>
  <si>
    <t>Team Lead</t>
  </si>
  <si>
    <t>Hyderabad</t>
  </si>
  <si>
    <t>Anjali Rao</t>
  </si>
  <si>
    <t>Financial Analyst</t>
  </si>
  <si>
    <t>Karan Malhotra</t>
  </si>
  <si>
    <t>Sales Executive</t>
  </si>
  <si>
    <t>Pooja Sharma</t>
  </si>
  <si>
    <t>Recruiter</t>
  </si>
  <si>
    <t>Arjun Patel</t>
  </si>
  <si>
    <t>Ahmedabad</t>
  </si>
  <si>
    <t>Meena Joshi</t>
  </si>
  <si>
    <t>Finance Manager</t>
  </si>
  <si>
    <t>Suresh Yadav</t>
  </si>
  <si>
    <t>Jaipur</t>
  </si>
  <si>
    <t>Kavita Nair</t>
  </si>
  <si>
    <t>Project Manager</t>
  </si>
  <si>
    <t>Manish Verma</t>
  </si>
  <si>
    <t>Chennai</t>
  </si>
  <si>
    <t>Riya Kapoor</t>
  </si>
  <si>
    <t>HR Executive</t>
  </si>
  <si>
    <t>Deepak Singh</t>
  </si>
  <si>
    <t>Senior Developer</t>
  </si>
  <si>
    <t>Nisha Agarwal</t>
  </si>
  <si>
    <t>Marketing Manager</t>
  </si>
  <si>
    <t>Varun Shah</t>
  </si>
  <si>
    <t>Simran Kaur</t>
  </si>
  <si>
    <t>Chandigarh</t>
  </si>
  <si>
    <t>Akash Jain</t>
  </si>
  <si>
    <t>Architect</t>
  </si>
  <si>
    <t>Divya Menon</t>
  </si>
  <si>
    <t>Kochi</t>
  </si>
  <si>
    <t>Naveen Reddy</t>
  </si>
  <si>
    <t>Shweta Mishra</t>
  </si>
  <si>
    <t>Lucknow</t>
  </si>
  <si>
    <t>Rajesh Kumar</t>
  </si>
  <si>
    <t>IT Manager</t>
  </si>
  <si>
    <t>Tanya Gupta</t>
  </si>
  <si>
    <t>Mohit Bansal</t>
  </si>
  <si>
    <t>Senior Accountant</t>
  </si>
  <si>
    <t>Ayesha Khan</t>
  </si>
  <si>
    <t>Sanjay Patel</t>
  </si>
  <si>
    <t>JOB ROLE</t>
  </si>
  <si>
    <t>W A Q FUNCTION TO CALCULATE TOTAL SALARY IN HR DEPT</t>
  </si>
  <si>
    <t>Employee ID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</si>
  <si>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</si>
  <si>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</si>
  <si>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</si>
  <si>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</si>
  <si>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</si>
  <si>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</si>
  <si>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</si>
  <si>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</si>
  <si>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</si>
  <si>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</si>
  <si>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Employee Name</t>
  </si>
  <si>
    <t>Rahul</t>
  </si>
  <si>
    <t>Ananya</t>
  </si>
  <si>
    <t>Rohan</t>
  </si>
  <si>
    <t>Priya</t>
  </si>
  <si>
    <t>Amit</t>
  </si>
  <si>
    <t>Neha</t>
  </si>
  <si>
    <t>Vikas</t>
  </si>
  <si>
    <t>Sneha</t>
  </si>
  <si>
    <t>Karan</t>
  </si>
  <si>
    <t>Pooja</t>
  </si>
  <si>
    <t>Noida</t>
  </si>
  <si>
    <t>Experience</t>
  </si>
  <si>
    <t>Question</t>
  </si>
  <si>
    <t>Lookup Employee ID</t>
  </si>
  <si>
    <t>Find Employee Name</t>
  </si>
  <si>
    <t>Find Department</t>
  </si>
  <si>
    <t>Find City</t>
  </si>
  <si>
    <t>Find Salary</t>
  </si>
  <si>
    <t>Find Experience</t>
  </si>
  <si>
    <t>Find Age</t>
  </si>
  <si>
    <t>W A FUNCTION  TO COUNT HOW MANY USERS ARE WORKING IN  IT DEPARTMENT</t>
  </si>
  <si>
    <t>HLOOKUP</t>
  </si>
  <si>
    <t>Salary based on employee id</t>
  </si>
  <si>
    <t>CREATE NEW COLUMN BONUS IF YOUR SALARY UPTO 50000 THE 5% OTHERWISE 10 %</t>
  </si>
  <si>
    <t>BONUS</t>
  </si>
  <si>
    <t>DONE</t>
  </si>
  <si>
    <t>Show the position of P109</t>
  </si>
  <si>
    <t>MATCH FUNCTION</t>
  </si>
  <si>
    <t>Show the position of SONY</t>
  </si>
  <si>
    <t>Show the matched value of position 3 of supplier</t>
  </si>
  <si>
    <t>show the position of Lenovo</t>
  </si>
  <si>
    <t>show the 5 position of product name</t>
  </si>
  <si>
    <t>show the price of webcam using match and index</t>
  </si>
  <si>
    <t>Show the Supplier of Mouse</t>
  </si>
  <si>
    <t>Show the unit price of keyboard</t>
  </si>
  <si>
    <t>show the unit price of Printer</t>
  </si>
  <si>
    <t>show category of webcam</t>
  </si>
  <si>
    <t>Emp_ID</t>
  </si>
  <si>
    <t>Dept</t>
  </si>
  <si>
    <t>Index-match</t>
  </si>
  <si>
    <t>Jatin</t>
  </si>
  <si>
    <t>M</t>
  </si>
  <si>
    <t>E4178</t>
  </si>
  <si>
    <t>E4181</t>
  </si>
  <si>
    <t>Vipul</t>
  </si>
  <si>
    <t>E4179</t>
  </si>
  <si>
    <t>E4193</t>
  </si>
  <si>
    <t>Mridul</t>
  </si>
  <si>
    <t>E4180</t>
  </si>
  <si>
    <t>Kanchan</t>
  </si>
  <si>
    <t>F</t>
  </si>
  <si>
    <t>Vibhor</t>
  </si>
  <si>
    <t>E4182</t>
  </si>
  <si>
    <t>Admin</t>
  </si>
  <si>
    <t>Shubham</t>
  </si>
  <si>
    <t>E4183</t>
  </si>
  <si>
    <t>Niharika</t>
  </si>
  <si>
    <t>E4184</t>
  </si>
  <si>
    <t>Ujjwal</t>
  </si>
  <si>
    <t>E4185</t>
  </si>
  <si>
    <t>Vivek</t>
  </si>
  <si>
    <t>E4186</t>
  </si>
  <si>
    <t>E4191</t>
  </si>
  <si>
    <t>Manan</t>
  </si>
  <si>
    <t>E4187</t>
  </si>
  <si>
    <t>Ritwik</t>
  </si>
  <si>
    <t>E4188</t>
  </si>
  <si>
    <t>Rishabh</t>
  </si>
  <si>
    <t>E4189</t>
  </si>
  <si>
    <t>Logistics</t>
  </si>
  <si>
    <t>Shubhi</t>
  </si>
  <si>
    <t>E4190</t>
  </si>
  <si>
    <t>Jyotsana</t>
  </si>
  <si>
    <t>Priyank</t>
  </si>
  <si>
    <t>E4192</t>
  </si>
  <si>
    <t>Hitesh</t>
  </si>
  <si>
    <t>Sonali</t>
  </si>
  <si>
    <t>E4194</t>
  </si>
  <si>
    <t>Kartik</t>
  </si>
  <si>
    <t>E4195</t>
  </si>
  <si>
    <t>Location</t>
  </si>
  <si>
    <t>Start Date</t>
  </si>
  <si>
    <t>Ab Lehrian</t>
  </si>
  <si>
    <t>NULL</t>
  </si>
  <si>
    <t>$82,240.77</t>
  </si>
  <si>
    <t>3 Redmond Way
Bellevue, WA
USA</t>
  </si>
  <si>
    <t>Abbie Tann</t>
  </si>
  <si>
    <t>Business Development</t>
  </si>
  <si>
    <t>$1,16,518.12</t>
  </si>
  <si>
    <t>Abe Gayter</t>
  </si>
  <si>
    <t>Training</t>
  </si>
  <si>
    <t>Abigael Basire</t>
  </si>
  <si>
    <t>Engineering</t>
  </si>
  <si>
    <t>$61,624.77</t>
  </si>
  <si>
    <t>8 Parliament Lane - Wellington, NZ</t>
  </si>
  <si>
    <t>Abramo Labbez</t>
  </si>
  <si>
    <t>Research and Development</t>
  </si>
  <si>
    <t>$76,998.38</t>
  </si>
  <si>
    <t>Abran Danielsky</t>
  </si>
  <si>
    <t>$32,716.22</t>
  </si>
  <si>
    <t>1 Infinite Loop, Los Angels, CA, USA</t>
  </si>
  <si>
    <t>Addi Studdeard</t>
  </si>
  <si>
    <t>Product Management</t>
  </si>
  <si>
    <t>$72,502.61</t>
  </si>
  <si>
    <t>Addia Penwright</t>
  </si>
  <si>
    <t>$28,132.33</t>
  </si>
  <si>
    <t>Addy Pimblett</t>
  </si>
  <si>
    <t>$66,461.92</t>
  </si>
  <si>
    <t>Adela Dowsett</t>
  </si>
  <si>
    <t>Support</t>
  </si>
  <si>
    <t>$95,017.10</t>
  </si>
  <si>
    <t>Adelina Cheeseman</t>
  </si>
  <si>
    <t>$45,512.10</t>
  </si>
  <si>
    <t>Adella Hartshorne</t>
  </si>
  <si>
    <t>Human Resources</t>
  </si>
  <si>
    <t>$41,155.71</t>
  </si>
  <si>
    <t>Adey Ryal</t>
  </si>
  <si>
    <t>Legal</t>
  </si>
  <si>
    <t>$32,496.88</t>
  </si>
  <si>
    <t>Adi Seawright</t>
  </si>
  <si>
    <t>$48,591.73</t>
  </si>
  <si>
    <t>Adolph Hartin</t>
  </si>
  <si>
    <t>$89,960.60</t>
  </si>
  <si>
    <t>Adolph McNalley</t>
  </si>
  <si>
    <t>$85,918.61</t>
  </si>
  <si>
    <t>Adrianne Gave</t>
  </si>
  <si>
    <t>$78,443.78</t>
  </si>
  <si>
    <t>Aeriela Aickin</t>
  </si>
  <si>
    <t>$37,550.51</t>
  </si>
  <si>
    <t>Aeriell Cuell</t>
  </si>
  <si>
    <t>$1,08,285.34</t>
  </si>
  <si>
    <t>Agnes Collicott</t>
  </si>
  <si>
    <t>$83,748.26</t>
  </si>
  <si>
    <t>Aida Bleacher</t>
  </si>
  <si>
    <t>$87,806.25</t>
  </si>
  <si>
    <t>Aile Strathearn</t>
  </si>
  <si>
    <t>$1,14,597.86</t>
  </si>
  <si>
    <t>Aileen McCritchie</t>
  </si>
  <si>
    <t>$80,169.42</t>
  </si>
  <si>
    <t>Aindrea Lenormand</t>
  </si>
  <si>
    <t>$71,180.77</t>
  </si>
  <si>
    <t>Aldrich Glenny</t>
  </si>
  <si>
    <t>$90,884.32</t>
  </si>
  <si>
    <t>Aleksandr Botha</t>
  </si>
  <si>
    <t>$60,264.93</t>
  </si>
  <si>
    <t>Alexandros Rackley</t>
  </si>
  <si>
    <t>$75,733.74</t>
  </si>
  <si>
    <t>Alexine Portail</t>
  </si>
  <si>
    <t>$60,327.47</t>
  </si>
  <si>
    <t>Alexis Gotfrey</t>
  </si>
  <si>
    <t>$1,14,465.93</t>
  </si>
  <si>
    <t>Alford Gerardi</t>
  </si>
  <si>
    <t>$37,128.34</t>
  </si>
  <si>
    <t>Alfred Peplay</t>
  </si>
  <si>
    <t>$60,576.12</t>
  </si>
  <si>
    <t>Ali Roubert</t>
  </si>
  <si>
    <t>$69,457.74</t>
  </si>
  <si>
    <t>Alic Bagg</t>
  </si>
  <si>
    <t>$1,13,747.56</t>
  </si>
  <si>
    <t>Alicea Pudsall</t>
  </si>
  <si>
    <t>Accounting</t>
  </si>
  <si>
    <t>$67,633.85</t>
  </si>
  <si>
    <t>Alida Welman</t>
  </si>
  <si>
    <t>$69,862.38</t>
  </si>
  <si>
    <t>Alikee Jecock</t>
  </si>
  <si>
    <t>$85,003.93</t>
  </si>
  <si>
    <t>Alisha Bloschke</t>
  </si>
  <si>
    <t>$36,476.64</t>
  </si>
  <si>
    <t>Alissa Schoenfisch</t>
  </si>
  <si>
    <t>$32,166.28</t>
  </si>
  <si>
    <t>Allene Gobbet</t>
  </si>
  <si>
    <t>$78,392.92</t>
  </si>
  <si>
    <t>Allyce Hincham</t>
  </si>
  <si>
    <t>$1,01,421.18</t>
  </si>
  <si>
    <t>Aloise MacCathay</t>
  </si>
  <si>
    <t>Aloisia Minto</t>
  </si>
  <si>
    <t>$41,420.28</t>
  </si>
  <si>
    <t>Alta Kaszper</t>
  </si>
  <si>
    <t>$54,974.11</t>
  </si>
  <si>
    <t>Althea Bronger</t>
  </si>
  <si>
    <t>$1,04,335.04</t>
  </si>
  <si>
    <t>Aluin Churly</t>
  </si>
  <si>
    <t>$96,555.53</t>
  </si>
  <si>
    <t>Alvie Keming</t>
  </si>
  <si>
    <t>$37,839.27</t>
  </si>
  <si>
    <t>Alyosha Riquet</t>
  </si>
  <si>
    <t>$89,838.77</t>
  </si>
  <si>
    <t>Alysa Wankling</t>
  </si>
  <si>
    <t>$1,06,462.05</t>
  </si>
  <si>
    <t>Amaleta Baltzar</t>
  </si>
  <si>
    <t>$70,077.56</t>
  </si>
  <si>
    <t>Amandy Jope</t>
  </si>
  <si>
    <t>$99,629.84</t>
  </si>
  <si>
    <t>Ambros Murthwaite</t>
  </si>
  <si>
    <t>$70,607.48</t>
  </si>
  <si>
    <t>Ambrosio Daniely</t>
  </si>
  <si>
    <t>$80,058.91</t>
  </si>
  <si>
    <t>Amii Elms</t>
  </si>
  <si>
    <t>$53,919.50</t>
  </si>
  <si>
    <t>Amitie Mawson</t>
  </si>
  <si>
    <t>$1,16,496.77</t>
  </si>
  <si>
    <t>Anabal Cooke</t>
  </si>
  <si>
    <t>$31,923.48</t>
  </si>
  <si>
    <t>Ancell Moretto</t>
  </si>
  <si>
    <t>$96,923.39</t>
  </si>
  <si>
    <t>Andrea Becker</t>
  </si>
  <si>
    <t>$46,163.82</t>
  </si>
  <si>
    <t>Andrea Penfold</t>
  </si>
  <si>
    <t>$70,227.90</t>
  </si>
  <si>
    <t>Andria Kimpton</t>
  </si>
  <si>
    <t>$69,117.17</t>
  </si>
  <si>
    <t>Angela Bangley</t>
  </si>
  <si>
    <t>$50,813.58</t>
  </si>
  <si>
    <t>Angeline Christophersen</t>
  </si>
  <si>
    <t>$86,942.20</t>
  </si>
  <si>
    <t>Anjanette Ferre</t>
  </si>
  <si>
    <t>$67,957.90</t>
  </si>
  <si>
    <t>Anjela Spancock</t>
  </si>
  <si>
    <t>$98,012.63</t>
  </si>
  <si>
    <t>Anne-corinne Daulby</t>
  </si>
  <si>
    <t>$78,644.38</t>
  </si>
  <si>
    <t>Anni Dinse</t>
  </si>
  <si>
    <t>$1,19,667.65</t>
  </si>
  <si>
    <t>Anni Izzard</t>
  </si>
  <si>
    <t>$1,03,494.94</t>
  </si>
  <si>
    <t>Ansley Gounel</t>
  </si>
  <si>
    <t>$38,438.24</t>
  </si>
  <si>
    <t>Antone Tolmie</t>
  </si>
  <si>
    <t>$1,10,815.53</t>
  </si>
  <si>
    <t>Antonetta Coggeshall</t>
  </si>
  <si>
    <t>$96,753.78</t>
  </si>
  <si>
    <t>Antonino Forsdicke</t>
  </si>
  <si>
    <t>$66,370.31</t>
  </si>
  <si>
    <t>Appolonia Snook</t>
  </si>
  <si>
    <t>Services</t>
  </si>
  <si>
    <t>$93,883.79</t>
  </si>
  <si>
    <t>Archaimbaud Pinchin</t>
  </si>
  <si>
    <t>$40,271.57</t>
  </si>
  <si>
    <t>Archibald Dyzart</t>
  </si>
  <si>
    <t>$63,022.98</t>
  </si>
  <si>
    <t>Archibald Filliskirk</t>
  </si>
  <si>
    <t>$40,404.47</t>
  </si>
  <si>
    <t>Ardella Dyment</t>
  </si>
  <si>
    <t>$70,649.46</t>
  </si>
  <si>
    <t>Aretha Ettridge</t>
  </si>
  <si>
    <t>$33,755.05</t>
  </si>
  <si>
    <t>Arlie Newcombe</t>
  </si>
  <si>
    <t>Arty Duigan</t>
  </si>
  <si>
    <t>$1,08,597.72</t>
  </si>
  <si>
    <t>Ashien Gallen</t>
  </si>
  <si>
    <t>$1,15,076.66</t>
  </si>
  <si>
    <t>nested if Formula</t>
  </si>
  <si>
    <t>count how many Male in dataset</t>
  </si>
  <si>
    <t>show department of Ab Lehrian</t>
  </si>
  <si>
    <t>match and index</t>
  </si>
  <si>
    <t>vlookup</t>
  </si>
  <si>
    <t>find out the position of Training department</t>
  </si>
  <si>
    <t>Match</t>
  </si>
  <si>
    <t xml:space="preserve">show which department at 7 position </t>
  </si>
  <si>
    <t>index</t>
  </si>
  <si>
    <t>show strat date of Ab Lehrian</t>
  </si>
  <si>
    <t>Customer_ID</t>
  </si>
  <si>
    <t>Customer_Name</t>
  </si>
  <si>
    <t>Product_Category</t>
  </si>
  <si>
    <t>Product</t>
  </si>
  <si>
    <t>Price</t>
  </si>
  <si>
    <t>Quantity</t>
  </si>
  <si>
    <t>Order_Date</t>
  </si>
  <si>
    <t>Payment_Mode</t>
  </si>
  <si>
    <t>Loan_Amount</t>
  </si>
  <si>
    <t>Loan_Tenure</t>
  </si>
  <si>
    <t>Interest_Rate</t>
  </si>
  <si>
    <t>Loan_Status</t>
  </si>
  <si>
    <t>C001</t>
  </si>
  <si>
    <t>UPI</t>
  </si>
  <si>
    <t>Approved</t>
  </si>
  <si>
    <t>C002</t>
  </si>
  <si>
    <t>Fashion</t>
  </si>
  <si>
    <t>Dress</t>
  </si>
  <si>
    <t>Credit Card</t>
  </si>
  <si>
    <t>C003</t>
  </si>
  <si>
    <t>Chair</t>
  </si>
  <si>
    <t>Net Banking</t>
  </si>
  <si>
    <t>C004</t>
  </si>
  <si>
    <t>Neha Singh</t>
  </si>
  <si>
    <t>Rejected</t>
  </si>
  <si>
    <t>C005</t>
  </si>
  <si>
    <t>Gurgaon</t>
  </si>
  <si>
    <t>Mobile</t>
  </si>
  <si>
    <t>C006</t>
  </si>
  <si>
    <t>Anjali Mehta</t>
  </si>
  <si>
    <t>Beauty</t>
  </si>
  <si>
    <t>Skincare Kit</t>
  </si>
  <si>
    <t>C007</t>
  </si>
  <si>
    <t>Vikas Yadav</t>
  </si>
  <si>
    <t>Grocery</t>
  </si>
  <si>
    <t>Rice Bag</t>
  </si>
  <si>
    <t>Cash</t>
  </si>
  <si>
    <t>C008</t>
  </si>
  <si>
    <t>Saree</t>
  </si>
  <si>
    <t>C009</t>
  </si>
  <si>
    <t>Suresh Patel</t>
  </si>
  <si>
    <t>Tablet</t>
  </si>
  <si>
    <t>C010</t>
  </si>
  <si>
    <t>Kavita Rao</t>
  </si>
  <si>
    <t>Home &amp; Kitchen</t>
  </si>
  <si>
    <t>Mixer</t>
  </si>
  <si>
    <t>C011</t>
  </si>
  <si>
    <t>Arjun Malhotra</t>
  </si>
  <si>
    <t>C012</t>
  </si>
  <si>
    <t>Shoes</t>
  </si>
  <si>
    <t>C013</t>
  </si>
  <si>
    <t>Manish Jain</t>
  </si>
  <si>
    <t>Table</t>
  </si>
  <si>
    <t>C014</t>
  </si>
  <si>
    <t>Perfume</t>
  </si>
  <si>
    <t>C015</t>
  </si>
  <si>
    <t>Deepak Verma</t>
  </si>
  <si>
    <t>Refrigerator</t>
  </si>
  <si>
    <t>C016</t>
  </si>
  <si>
    <t>Sneha Iyer</t>
  </si>
  <si>
    <t>Coffee</t>
  </si>
  <si>
    <t>C017</t>
  </si>
  <si>
    <t>Karan Singh</t>
  </si>
  <si>
    <t>Sofa</t>
  </si>
  <si>
    <t>C018</t>
  </si>
  <si>
    <t>Handbag</t>
  </si>
  <si>
    <t>C019</t>
  </si>
  <si>
    <t>TV</t>
  </si>
  <si>
    <t>C020</t>
  </si>
  <si>
    <t>Divya Shah</t>
  </si>
  <si>
    <t>Cookware</t>
  </si>
  <si>
    <t>C021</t>
  </si>
  <si>
    <t>Nitin Arora</t>
  </si>
  <si>
    <t>C022</t>
  </si>
  <si>
    <t>Jeans</t>
  </si>
  <si>
    <t>C023</t>
  </si>
  <si>
    <t>Mohit Agarwal</t>
  </si>
  <si>
    <t>Bed</t>
  </si>
  <si>
    <t>C024</t>
  </si>
  <si>
    <t>Isha Gupta</t>
  </si>
  <si>
    <t>Makeup Kit</t>
  </si>
  <si>
    <t>C025</t>
  </si>
  <si>
    <t>Varun Bansal</t>
  </si>
  <si>
    <t>Smartwatch</t>
  </si>
  <si>
    <t>C026</t>
  </si>
  <si>
    <t>Shweta Nair</t>
  </si>
  <si>
    <t>Dry Fruits</t>
  </si>
  <si>
    <t>C027</t>
  </si>
  <si>
    <t>Akash Mishra</t>
  </si>
  <si>
    <t>AC</t>
  </si>
  <si>
    <t>C028</t>
  </si>
  <si>
    <t>Tanya Sethi</t>
  </si>
  <si>
    <t>Jacket</t>
  </si>
  <si>
    <t>C029</t>
  </si>
  <si>
    <t>Sanjay Rao</t>
  </si>
  <si>
    <t>Wardrobe</t>
  </si>
  <si>
    <t>C030</t>
  </si>
  <si>
    <t>Nisha Patel</t>
  </si>
  <si>
    <t>Face Cream</t>
  </si>
  <si>
    <t>C031</t>
  </si>
  <si>
    <t>Abhishek Roy</t>
  </si>
  <si>
    <t>Kolkata</t>
  </si>
  <si>
    <t>C032</t>
  </si>
  <si>
    <t>Komal Sharma</t>
  </si>
  <si>
    <t>Top</t>
  </si>
  <si>
    <t>C033</t>
  </si>
  <si>
    <t>Ravi Thakur</t>
  </si>
  <si>
    <t>Oil</t>
  </si>
  <si>
    <t>C034</t>
  </si>
  <si>
    <t>Preeti Gupta</t>
  </si>
  <si>
    <t>Air Fryer</t>
  </si>
  <si>
    <t>C035</t>
  </si>
  <si>
    <t>Ajay Kumar</t>
  </si>
  <si>
    <t>Washing Machine</t>
  </si>
  <si>
    <t>C036</t>
  </si>
  <si>
    <t>Mansi Jain</t>
  </si>
  <si>
    <t>Watch</t>
  </si>
  <si>
    <t>C037</t>
  </si>
  <si>
    <t>Prakash Singh</t>
  </si>
  <si>
    <t>Dining Table</t>
  </si>
  <si>
    <t>C038</t>
  </si>
  <si>
    <t>Ritika Das</t>
  </si>
  <si>
    <t>Lipstick</t>
  </si>
  <si>
    <t>C039</t>
  </si>
  <si>
    <t>Manoj Yadav</t>
  </si>
  <si>
    <t>Camera</t>
  </si>
  <si>
    <t>C040</t>
  </si>
  <si>
    <t>Sakshi Mehta</t>
  </si>
  <si>
    <t>Tea</t>
  </si>
  <si>
    <t>C041</t>
  </si>
  <si>
    <t>Varsha Kapoor</t>
  </si>
  <si>
    <t>Earbuds</t>
  </si>
  <si>
    <t>C042</t>
  </si>
  <si>
    <t>Harish Patel</t>
  </si>
  <si>
    <t>C043</t>
  </si>
  <si>
    <t>Neelam Verma</t>
  </si>
  <si>
    <t>Kurti</t>
  </si>
  <si>
    <t>C044</t>
  </si>
  <si>
    <t>Rakesh Sharma</t>
  </si>
  <si>
    <t>C045</t>
  </si>
  <si>
    <t>Pallavi Singh</t>
  </si>
  <si>
    <t>Vacuum Cleaner</t>
  </si>
  <si>
    <t>C046</t>
  </si>
  <si>
    <t>Suraj Kumar</t>
  </si>
  <si>
    <t>Speaker</t>
  </si>
  <si>
    <t>C047</t>
  </si>
  <si>
    <t>Renu Gupta</t>
  </si>
  <si>
    <t>Sandal</t>
  </si>
  <si>
    <t>C048</t>
  </si>
  <si>
    <t>Gaurav Mehra</t>
  </si>
  <si>
    <t>C049</t>
  </si>
  <si>
    <t>Swati Joshi</t>
  </si>
  <si>
    <t>Shampoo</t>
  </si>
  <si>
    <t>C050</t>
  </si>
  <si>
    <t>Ankit Sharma</t>
  </si>
  <si>
    <t>Customer id</t>
  </si>
  <si>
    <t>Payment Mode</t>
  </si>
  <si>
    <t>Loan Amount</t>
  </si>
  <si>
    <t>Vlookup</t>
  </si>
  <si>
    <t>Index+Match</t>
  </si>
  <si>
    <t>find the age of Amit</t>
  </si>
  <si>
    <t>Amit*</t>
  </si>
  <si>
    <t>show the price of the employee whose name start with r</t>
  </si>
  <si>
    <t>?    --&gt; this symbol indicates Single char</t>
  </si>
  <si>
    <t>* --&gt; this symbol indicates n number of characters</t>
  </si>
  <si>
    <t>Upper Case</t>
  </si>
  <si>
    <t>Proper Case</t>
  </si>
  <si>
    <t>Lower Case</t>
  </si>
  <si>
    <t>Left</t>
  </si>
  <si>
    <t>Right</t>
  </si>
  <si>
    <t>Len</t>
  </si>
  <si>
    <t>Trim</t>
  </si>
  <si>
    <t>Length</t>
  </si>
  <si>
    <t>Concat Function</t>
  </si>
  <si>
    <t>Lname</t>
  </si>
  <si>
    <t>Using Concat Function</t>
  </si>
  <si>
    <t>Bose</t>
  </si>
  <si>
    <t>Pin Code</t>
  </si>
  <si>
    <t>Email</t>
  </si>
  <si>
    <r>
      <t xml:space="preserve">Password has to  be </t>
    </r>
    <r>
      <rPr>
        <sz val="11"/>
        <color rgb="FFFF0000"/>
        <rFont val="Aptos Narrow"/>
        <family val="2"/>
        <scheme val="minor"/>
      </rPr>
      <t>NAME UPPERCASE + 2 START CHAR OF CITY 3+ 3 LAST CHAR FROM PINCODE</t>
    </r>
  </si>
  <si>
    <t>Asha</t>
  </si>
  <si>
    <t>ASHA@GMAIL.com</t>
  </si>
  <si>
    <t>Mid</t>
  </si>
  <si>
    <t>Find</t>
  </si>
  <si>
    <t>email</t>
  </si>
  <si>
    <t>ABC@GMAIL.COM</t>
  </si>
  <si>
    <t>XYZ@YAHOON.COM</t>
  </si>
  <si>
    <t>FIND OUT THE POSITION OF @</t>
  </si>
  <si>
    <t>FIND OUT THE POSITION OF .</t>
  </si>
  <si>
    <t>FIND THE COMPANY NAME USING FIND AND MID</t>
  </si>
  <si>
    <t>Search</t>
  </si>
  <si>
    <t>round function</t>
  </si>
  <si>
    <t>Round</t>
  </si>
  <si>
    <t>Roundup</t>
  </si>
  <si>
    <t>Rounddown</t>
  </si>
  <si>
    <t>round</t>
  </si>
  <si>
    <t>roundup</t>
  </si>
  <si>
    <t>rounddown</t>
  </si>
  <si>
    <t>mod</t>
  </si>
  <si>
    <t>ABS</t>
  </si>
  <si>
    <t>AFTER DIVISION IT WILL SHOW ONLY REMAINDERS</t>
  </si>
  <si>
    <t>INT</t>
  </si>
  <si>
    <t>PRODUCT</t>
  </si>
  <si>
    <t>NOW</t>
  </si>
  <si>
    <t>TODAY</t>
  </si>
  <si>
    <t>MONTH</t>
  </si>
  <si>
    <t>DAY</t>
  </si>
  <si>
    <t>YEAR</t>
  </si>
  <si>
    <t>CALCULATE AGE</t>
  </si>
  <si>
    <t>DOB</t>
  </si>
  <si>
    <t>XYZ@YAHOO.COM</t>
  </si>
  <si>
    <t>Finding "."</t>
  </si>
  <si>
    <t>Finding "@"</t>
  </si>
  <si>
    <t>Using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</si>
</sst>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[$-F400]h:mm:ss\ AM/PM"/>
  </numFmts>
  <fonts count="24" x14ac:knownFonts="1">
    <font>
      <sz val="11"/>
      <color theme="1"/>
      <name val="Aptos Narrow"/>
      <family val="2"/>
      <scheme val="minor"/>
    </font>
    <font>
      <b/>
      <sz val="16"/>
      <color theme="7" tint="-0.249977111117893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3" tint="9.9978637043366805E-2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Aptos Narrow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A02B93"/>
      <name val="Aptos Narrow"/>
      <family val="2"/>
    </font>
    <font>
      <b/>
      <sz val="11"/>
      <color rgb="FFFF000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14" fontId="8" fillId="0" borderId="0" xfId="0" applyNumberFormat="1" applyFont="1" applyAlignment="1">
      <alignment horizontal="right"/>
    </xf>
    <xf numFmtId="0" fontId="9" fillId="4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9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8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11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right"/>
    </xf>
    <xf numFmtId="14" fontId="12" fillId="0" borderId="0" xfId="0" applyNumberFormat="1" applyFont="1" applyAlignment="1">
      <alignment horizontal="right"/>
    </xf>
    <xf numFmtId="14" fontId="0" fillId="0" borderId="0" xfId="0" applyNumberFormat="1"/>
    <xf numFmtId="0" fontId="13" fillId="0" borderId="0" xfId="0" applyFont="1"/>
    <xf numFmtId="0" fontId="14" fillId="0" borderId="0" xfId="0" applyFont="1"/>
    <xf numFmtId="0" fontId="15" fillId="0" borderId="0" xfId="1"/>
    <xf numFmtId="0" fontId="15" fillId="0" borderId="0" xfId="1" applyAlignment="1">
      <alignment wrapText="1"/>
    </xf>
    <xf numFmtId="0" fontId="0" fillId="0" borderId="0" xfId="0" applyAlignment="1">
      <alignment horizontal="center" wrapText="1"/>
    </xf>
    <xf numFmtId="164" fontId="8" fillId="0" borderId="0" xfId="0" applyNumberFormat="1" applyFont="1" applyAlignment="1">
      <alignment horizontal="right"/>
    </xf>
    <xf numFmtId="2" fontId="0" fillId="0" borderId="0" xfId="0" applyNumberFormat="1"/>
    <xf numFmtId="165" fontId="8" fillId="0" borderId="0" xfId="0" applyNumberFormat="1" applyFont="1" applyAlignment="1">
      <alignment horizontal="right"/>
    </xf>
    <xf numFmtId="165" fontId="0" fillId="0" borderId="0" xfId="0" applyNumberFormat="1"/>
    <xf numFmtId="164" fontId="4" fillId="0" borderId="0" xfId="0" applyNumberFormat="1" applyFont="1"/>
    <xf numFmtId="0" fontId="14" fillId="0" borderId="0" xfId="0" applyFont="1" applyAlignment="1">
      <alignment vertical="top" wrapText="1"/>
    </xf>
    <xf numFmtId="1" fontId="4" fillId="0" borderId="0" xfId="0" applyNumberFormat="1" applyFont="1"/>
    <xf numFmtId="14" fontId="4" fillId="0" borderId="0" xfId="0" applyNumberFormat="1" applyFont="1"/>
    <xf numFmtId="166" fontId="4" fillId="0" borderId="0" xfId="0" applyNumberFormat="1" applyFont="1"/>
    <xf numFmtId="15" fontId="14" fillId="0" borderId="0" xfId="0" applyNumberFormat="1" applyFont="1"/>
    <xf numFmtId="1" fontId="14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4" fillId="0" borderId="1" xfId="0" applyFont="1" applyBorder="1"/>
    <xf numFmtId="1" fontId="21" fillId="0" borderId="0" xfId="0" applyNumberFormat="1" applyFont="1"/>
    <xf numFmtId="0" fontId="16" fillId="0" borderId="0" xfId="0" applyFont="1" applyAlignment="1">
      <alignment horizontal="left" vertical="top" wrapText="1"/>
    </xf>
    <xf numFmtId="0" fontId="16" fillId="0" borderId="0" xfId="0" applyFont="1"/>
    <xf numFmtId="0" fontId="22" fillId="0" borderId="0" xfId="1" applyFont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0" fontId="23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top" wrapText="1"/>
    </xf>
    <xf numFmtId="0" fontId="2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XYZ@YAHOON.COM" TargetMode="External"/><Relationship Id="rId1" Type="http://schemas.openxmlformats.org/officeDocument/2006/relationships/hyperlink" Target="mailto:ABC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XYZ@YAHOO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A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BD03-FC7C-406C-956F-E7A0C0462B84}">
  <dimension ref="A1:M14"/>
  <sheetViews>
    <sheetView workbookViewId="0">
      <selection activeCell="L6" sqref="L6"/>
    </sheetView>
  </sheetViews>
  <sheetFormatPr defaultRowHeight="14.4" x14ac:dyDescent="0.3"/>
  <cols>
    <col min="13" max="13" width="55.109375" customWidth="1"/>
  </cols>
  <sheetData>
    <row r="1" spans="1:13" x14ac:dyDescent="0.3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3" x14ac:dyDescent="0.3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3">
      <c r="C4">
        <v>99</v>
      </c>
      <c r="D4">
        <v>99</v>
      </c>
      <c r="E4">
        <v>99</v>
      </c>
      <c r="F4">
        <v>77</v>
      </c>
      <c r="G4">
        <v>78</v>
      </c>
      <c r="H4">
        <f>SUM(C4:G4)</f>
        <v>452</v>
      </c>
      <c r="I4">
        <f>MAX(C4:G4)</f>
        <v>99</v>
      </c>
      <c r="J4">
        <f>AVERAGE(C4:G4)</f>
        <v>90.4</v>
      </c>
      <c r="K4">
        <f>MIN(C4:G4)</f>
        <v>77</v>
      </c>
      <c r="L4" t="str">
        <f>IF(J4&gt;50,"PASS","FAIL")</f>
        <v>PASS</v>
      </c>
      <c r="M4" t="str">
        <f>IF(J4&gt;=90,"A",IF(J4&gt;=80,"B",IF(J4&gt;=70,"C",IF(J4&gt;70,"D",IF(J4&gt;60,"E",IF(J4&lt;60,"F"))))))</f>
        <v>A</v>
      </c>
    </row>
    <row r="5" spans="1:13" x14ac:dyDescent="0.3">
      <c r="C5">
        <v>99</v>
      </c>
      <c r="D5">
        <v>99</v>
      </c>
      <c r="E5">
        <v>99</v>
      </c>
      <c r="F5">
        <v>77</v>
      </c>
      <c r="G5">
        <v>78</v>
      </c>
      <c r="H5">
        <f t="shared" ref="H5:H14" si="0">SUM(C5:G5)</f>
        <v>452</v>
      </c>
      <c r="I5">
        <f t="shared" ref="I5:I14" si="1">MAX(C5:G5)</f>
        <v>99</v>
      </c>
      <c r="J5">
        <f t="shared" ref="J5:J14" si="2">AVERAGE(C5:G5)</f>
        <v>90.4</v>
      </c>
      <c r="K5">
        <f t="shared" ref="K5:K14" si="3">MIN(C5:G5)</f>
        <v>77</v>
      </c>
      <c r="L5" t="str">
        <f>IF(AND(C4&gt;40,D4&gt;40,E4&gt;40,F4&gt;40,G4&gt;40),"PASS","FAIL")</f>
        <v>PASS</v>
      </c>
    </row>
    <row r="6" spans="1:13" x14ac:dyDescent="0.3">
      <c r="H6">
        <f t="shared" si="0"/>
        <v>0</v>
      </c>
      <c r="I6">
        <f t="shared" si="1"/>
        <v>0</v>
      </c>
      <c r="J6" t="e">
        <f t="shared" si="2"/>
        <v>#DIV/0!</v>
      </c>
      <c r="K6">
        <f t="shared" si="3"/>
        <v>0</v>
      </c>
      <c r="L6" t="str">
        <f>IF(OR(C5&gt;=40,D5&gt;=40,E5&gt;=40,F5&gt;=40,G5&gt;=40),"PASS","FAIL")</f>
        <v>PASS</v>
      </c>
    </row>
    <row r="7" spans="1:13" x14ac:dyDescent="0.3">
      <c r="H7">
        <f t="shared" si="0"/>
        <v>0</v>
      </c>
      <c r="I7">
        <f t="shared" si="1"/>
        <v>0</v>
      </c>
      <c r="J7" t="e">
        <f t="shared" si="2"/>
        <v>#DIV/0!</v>
      </c>
      <c r="K7">
        <f t="shared" si="3"/>
        <v>0</v>
      </c>
    </row>
    <row r="8" spans="1:13" x14ac:dyDescent="0.3">
      <c r="H8">
        <f t="shared" si="0"/>
        <v>0</v>
      </c>
      <c r="I8">
        <f t="shared" si="1"/>
        <v>0</v>
      </c>
      <c r="J8" t="e">
        <f t="shared" si="2"/>
        <v>#DIV/0!</v>
      </c>
      <c r="K8">
        <f t="shared" si="3"/>
        <v>0</v>
      </c>
    </row>
    <row r="9" spans="1:13" x14ac:dyDescent="0.3">
      <c r="H9">
        <f t="shared" si="0"/>
        <v>0</v>
      </c>
      <c r="I9">
        <f t="shared" si="1"/>
        <v>0</v>
      </c>
      <c r="J9" t="e">
        <f t="shared" si="2"/>
        <v>#DIV/0!</v>
      </c>
      <c r="K9">
        <f t="shared" si="3"/>
        <v>0</v>
      </c>
    </row>
    <row r="10" spans="1:13" x14ac:dyDescent="0.3">
      <c r="H10">
        <f t="shared" si="0"/>
        <v>0</v>
      </c>
      <c r="I10">
        <f t="shared" si="1"/>
        <v>0</v>
      </c>
      <c r="J10" t="e">
        <f t="shared" si="2"/>
        <v>#DIV/0!</v>
      </c>
      <c r="K10">
        <f t="shared" si="3"/>
        <v>0</v>
      </c>
    </row>
    <row r="11" spans="1:13" x14ac:dyDescent="0.3">
      <c r="H11">
        <f t="shared" si="0"/>
        <v>0</v>
      </c>
      <c r="I11">
        <f t="shared" si="1"/>
        <v>0</v>
      </c>
      <c r="J11" t="e">
        <f t="shared" si="2"/>
        <v>#DIV/0!</v>
      </c>
      <c r="K11">
        <f t="shared" si="3"/>
        <v>0</v>
      </c>
    </row>
    <row r="12" spans="1:13" x14ac:dyDescent="0.3">
      <c r="H12">
        <f t="shared" si="0"/>
        <v>0</v>
      </c>
      <c r="I12">
        <f t="shared" si="1"/>
        <v>0</v>
      </c>
      <c r="J12" t="e">
        <f t="shared" si="2"/>
        <v>#DIV/0!</v>
      </c>
      <c r="K12">
        <f t="shared" si="3"/>
        <v>0</v>
      </c>
    </row>
    <row r="13" spans="1:13" x14ac:dyDescent="0.3">
      <c r="H13">
        <f t="shared" si="0"/>
        <v>0</v>
      </c>
      <c r="I13">
        <f t="shared" si="1"/>
        <v>0</v>
      </c>
      <c r="J13" t="e">
        <f t="shared" si="2"/>
        <v>#DIV/0!</v>
      </c>
      <c r="K13">
        <f t="shared" si="3"/>
        <v>0</v>
      </c>
    </row>
    <row r="14" spans="1:13" x14ac:dyDescent="0.3">
      <c r="H14">
        <f t="shared" si="0"/>
        <v>0</v>
      </c>
      <c r="I14">
        <f t="shared" si="1"/>
        <v>0</v>
      </c>
      <c r="J14" t="e">
        <f t="shared" si="2"/>
        <v>#DIV/0!</v>
      </c>
      <c r="K14">
        <f t="shared" si="3"/>
        <v>0</v>
      </c>
    </row>
  </sheetData>
  <mergeCells count="1">
    <mergeCell ref="A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A28-02E5-4CA5-9116-67903D96DDE5}">
  <dimension ref="A1:Q26"/>
  <sheetViews>
    <sheetView workbookViewId="0">
      <selection activeCell="G16" sqref="G16"/>
    </sheetView>
  </sheetViews>
  <sheetFormatPr defaultRowHeight="14.4" x14ac:dyDescent="0.3"/>
  <cols>
    <col min="1" max="1" width="19.6640625" customWidth="1"/>
    <col min="2" max="2" width="14.77734375" customWidth="1"/>
    <col min="3" max="3" width="11.109375" customWidth="1"/>
    <col min="4" max="5" width="15.21875" customWidth="1"/>
    <col min="6" max="6" width="17.5546875" customWidth="1"/>
    <col min="7" max="7" width="18.109375" customWidth="1"/>
    <col min="8" max="8" width="19.6640625" customWidth="1"/>
  </cols>
  <sheetData>
    <row r="1" spans="1:17" x14ac:dyDescent="0.3">
      <c r="A1" s="58" t="s">
        <v>14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17" x14ac:dyDescent="0.3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3" spans="1:17" x14ac:dyDescent="0.3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</row>
    <row r="4" spans="1:17" x14ac:dyDescent="0.3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</row>
    <row r="5" spans="1:17" x14ac:dyDescent="0.3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</row>
    <row r="6" spans="1:17" x14ac:dyDescent="0.3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</row>
    <row r="7" spans="1:17" ht="2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 t="s">
        <v>15</v>
      </c>
      <c r="B10" t="s">
        <v>16</v>
      </c>
      <c r="C10" t="s">
        <v>17</v>
      </c>
      <c r="D10" t="s">
        <v>18</v>
      </c>
      <c r="E10" t="s">
        <v>26</v>
      </c>
      <c r="F10" t="s">
        <v>19</v>
      </c>
      <c r="G10" t="s">
        <v>20</v>
      </c>
      <c r="H10" t="s">
        <v>21</v>
      </c>
    </row>
    <row r="11" spans="1:17" x14ac:dyDescent="0.3">
      <c r="A11">
        <v>101</v>
      </c>
      <c r="B11">
        <v>200</v>
      </c>
      <c r="C11">
        <v>5</v>
      </c>
      <c r="D11" t="s">
        <v>22</v>
      </c>
      <c r="E11" t="s">
        <v>27</v>
      </c>
      <c r="F11">
        <f>B11*C11</f>
        <v>1000</v>
      </c>
      <c r="G11">
        <f>F11*5%</f>
        <v>50</v>
      </c>
      <c r="H11">
        <f>F11-G11</f>
        <v>950</v>
      </c>
    </row>
    <row r="12" spans="1:17" x14ac:dyDescent="0.3">
      <c r="A12">
        <v>102</v>
      </c>
      <c r="B12">
        <v>400</v>
      </c>
      <c r="C12">
        <v>4</v>
      </c>
      <c r="D12" t="s">
        <v>23</v>
      </c>
      <c r="E12" t="s">
        <v>28</v>
      </c>
      <c r="F12">
        <f>B12*C12</f>
        <v>1600</v>
      </c>
      <c r="G12">
        <f>F12*5%</f>
        <v>80</v>
      </c>
      <c r="H12">
        <f>F12-G12</f>
        <v>1520</v>
      </c>
    </row>
    <row r="13" spans="1:17" x14ac:dyDescent="0.3">
      <c r="A13">
        <v>103</v>
      </c>
      <c r="B13">
        <v>600</v>
      </c>
      <c r="C13">
        <v>7</v>
      </c>
      <c r="D13" t="s">
        <v>30</v>
      </c>
      <c r="E13" t="s">
        <v>27</v>
      </c>
      <c r="F13">
        <f>B13*C13</f>
        <v>4200</v>
      </c>
      <c r="G13">
        <f>IF(E13="STUDENT",F13*5%,IF(E13="TEACHER",F13*10%,IF(E13="STAFF",F13*15%)))</f>
        <v>210</v>
      </c>
      <c r="H13">
        <f>F13-G13</f>
        <v>3990</v>
      </c>
    </row>
    <row r="14" spans="1:17" x14ac:dyDescent="0.3">
      <c r="E14" t="s">
        <v>28</v>
      </c>
    </row>
    <row r="15" spans="1:17" x14ac:dyDescent="0.3">
      <c r="E15" t="s">
        <v>29</v>
      </c>
      <c r="G15" t="s">
        <v>24</v>
      </c>
    </row>
    <row r="16" spans="1:17" x14ac:dyDescent="0.3">
      <c r="A16">
        <v>109</v>
      </c>
      <c r="B16">
        <v>300</v>
      </c>
      <c r="C16">
        <v>10</v>
      </c>
      <c r="D16" t="s">
        <v>25</v>
      </c>
      <c r="E16" t="s">
        <v>27</v>
      </c>
      <c r="F16">
        <f>B16*C16</f>
        <v>3000</v>
      </c>
      <c r="G16">
        <f>IF(F16&lt;500,F16*5%,F16*10%)</f>
        <v>300</v>
      </c>
    </row>
    <row r="17" spans="5:6" x14ac:dyDescent="0.3">
      <c r="E17" t="s">
        <v>28</v>
      </c>
    </row>
    <row r="18" spans="5:6" x14ac:dyDescent="0.3">
      <c r="E18" t="s">
        <v>29</v>
      </c>
    </row>
    <row r="19" spans="5:6" x14ac:dyDescent="0.3">
      <c r="E19" t="s">
        <v>27</v>
      </c>
    </row>
    <row r="20" spans="5:6" x14ac:dyDescent="0.3">
      <c r="E20" t="s">
        <v>29</v>
      </c>
    </row>
    <row r="24" spans="5:6" x14ac:dyDescent="0.3">
      <c r="E24" t="s">
        <v>27</v>
      </c>
      <c r="F24" s="2">
        <v>0.05</v>
      </c>
    </row>
    <row r="25" spans="5:6" x14ac:dyDescent="0.3">
      <c r="E25" t="s">
        <v>28</v>
      </c>
      <c r="F25" s="2">
        <v>0.1</v>
      </c>
    </row>
    <row r="26" spans="5:6" x14ac:dyDescent="0.3">
      <c r="E26" t="s">
        <v>29</v>
      </c>
      <c r="F26" s="2">
        <v>0.15</v>
      </c>
    </row>
  </sheetData>
  <mergeCells count="1">
    <mergeCell ref="A1:Q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83B3-DEED-4045-8F1A-9198BD006EB2}">
  <dimension ref="A1:R27"/>
  <sheetViews>
    <sheetView topLeftCell="A8" zoomScaleNormal="100" workbookViewId="0">
      <selection activeCell="L28" sqref="L28"/>
    </sheetView>
  </sheetViews>
  <sheetFormatPr defaultRowHeight="14.4" x14ac:dyDescent="0.3"/>
  <cols>
    <col min="1" max="1" width="6.33203125" bestFit="1" customWidth="1"/>
    <col min="2" max="2" width="5.6640625" bestFit="1" customWidth="1"/>
    <col min="3" max="3" width="5.77734375" bestFit="1" customWidth="1"/>
    <col min="4" max="4" width="10.88671875" bestFit="1" customWidth="1"/>
    <col min="5" max="5" width="27.33203125" bestFit="1" customWidth="1"/>
    <col min="6" max="6" width="10.21875" bestFit="1" customWidth="1"/>
    <col min="7" max="7" width="22.6640625" bestFit="1" customWidth="1"/>
    <col min="8" max="8" width="30.6640625" bestFit="1" customWidth="1"/>
    <col min="9" max="9" width="7.6640625" bestFit="1" customWidth="1"/>
    <col min="10" max="10" width="21.88671875" bestFit="1" customWidth="1"/>
    <col min="11" max="11" width="14.21875" customWidth="1"/>
    <col min="12" max="12" width="25" bestFit="1" customWidth="1"/>
  </cols>
  <sheetData>
    <row r="1" spans="1:18" x14ac:dyDescent="0.3">
      <c r="A1" s="59" t="s">
        <v>41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1:18" x14ac:dyDescent="0.3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</row>
    <row r="3" spans="1:18" x14ac:dyDescent="0.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</row>
    <row r="4" spans="1:18" x14ac:dyDescent="0.3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</row>
    <row r="5" spans="1:18" x14ac:dyDescent="0.3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</row>
    <row r="6" spans="1:18" x14ac:dyDescent="0.3">
      <c r="A6" t="s">
        <v>31</v>
      </c>
      <c r="B6" t="s">
        <v>32</v>
      </c>
      <c r="C6" t="s">
        <v>33</v>
      </c>
      <c r="E6" t="s">
        <v>34</v>
      </c>
      <c r="G6" t="s">
        <v>35</v>
      </c>
      <c r="H6" t="s">
        <v>36</v>
      </c>
      <c r="I6" t="s">
        <v>37</v>
      </c>
      <c r="J6" t="s">
        <v>38</v>
      </c>
      <c r="L6" t="s">
        <v>39</v>
      </c>
    </row>
    <row r="7" spans="1:18" x14ac:dyDescent="0.3">
      <c r="A7">
        <v>101</v>
      </c>
      <c r="B7" t="s">
        <v>40</v>
      </c>
      <c r="C7">
        <v>2000</v>
      </c>
      <c r="E7">
        <f>C7*10%</f>
        <v>200</v>
      </c>
      <c r="G7">
        <f>C7*12%</f>
        <v>240</v>
      </c>
      <c r="H7">
        <f>C7*15%</f>
        <v>300</v>
      </c>
      <c r="I7">
        <f>C7*20%</f>
        <v>400</v>
      </c>
      <c r="J7">
        <f>SUM(C7:H7)</f>
        <v>2740</v>
      </c>
      <c r="L7">
        <f>J7-I7</f>
        <v>2340</v>
      </c>
    </row>
    <row r="8" spans="1:18" x14ac:dyDescent="0.3">
      <c r="G8">
        <f>C8*12%</f>
        <v>0</v>
      </c>
      <c r="H8">
        <f>C8*15%</f>
        <v>0</v>
      </c>
      <c r="I8">
        <f>C8*20%</f>
        <v>0</v>
      </c>
      <c r="J8">
        <f>SUM(C8:H8)</f>
        <v>0</v>
      </c>
      <c r="L8">
        <f>J8-I8</f>
        <v>0</v>
      </c>
    </row>
    <row r="9" spans="1:18" x14ac:dyDescent="0.3">
      <c r="G9">
        <f>C9*12%</f>
        <v>0</v>
      </c>
      <c r="H9">
        <f>C9*15%</f>
        <v>0</v>
      </c>
      <c r="I9">
        <f>C9*20%</f>
        <v>0</v>
      </c>
      <c r="J9">
        <f>SUM(C9:H9)</f>
        <v>0</v>
      </c>
      <c r="L9">
        <f>J9-I9</f>
        <v>0</v>
      </c>
    </row>
    <row r="10" spans="1:18" x14ac:dyDescent="0.3">
      <c r="A10" s="59" t="s">
        <v>42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</row>
    <row r="11" spans="1:18" x14ac:dyDescent="0.3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</row>
    <row r="12" spans="1:18" x14ac:dyDescent="0.3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</row>
    <row r="13" spans="1:18" x14ac:dyDescent="0.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</row>
    <row r="14" spans="1:18" x14ac:dyDescent="0.3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</row>
    <row r="15" spans="1:18" x14ac:dyDescent="0.3">
      <c r="A15" t="s">
        <v>31</v>
      </c>
      <c r="B15" t="s">
        <v>32</v>
      </c>
      <c r="C15" t="s">
        <v>33</v>
      </c>
      <c r="D15" t="s">
        <v>43</v>
      </c>
      <c r="E15" t="s">
        <v>34</v>
      </c>
      <c r="G15" t="s">
        <v>35</v>
      </c>
      <c r="H15" t="s">
        <v>36</v>
      </c>
      <c r="I15" t="s">
        <v>37</v>
      </c>
      <c r="J15" t="s">
        <v>38</v>
      </c>
      <c r="L15" t="s">
        <v>39</v>
      </c>
    </row>
    <row r="16" spans="1:18" x14ac:dyDescent="0.3">
      <c r="A16">
        <v>101</v>
      </c>
      <c r="B16" t="s">
        <v>40</v>
      </c>
      <c r="C16">
        <v>2000</v>
      </c>
      <c r="D16" t="s">
        <v>44</v>
      </c>
      <c r="E16">
        <f>C16*10%</f>
        <v>200</v>
      </c>
      <c r="G16">
        <f>C16*12%</f>
        <v>240</v>
      </c>
      <c r="H16">
        <f>C16*15%</f>
        <v>300</v>
      </c>
      <c r="I16">
        <f>C16*20%</f>
        <v>400</v>
      </c>
      <c r="J16">
        <f>SUM(C16:H16)</f>
        <v>2740</v>
      </c>
      <c r="L16">
        <f>J16-I16</f>
        <v>2340</v>
      </c>
    </row>
    <row r="17" spans="1:18" x14ac:dyDescent="0.3">
      <c r="D17" t="s">
        <v>45</v>
      </c>
    </row>
    <row r="18" spans="1:18" x14ac:dyDescent="0.3">
      <c r="E18" t="s">
        <v>46</v>
      </c>
      <c r="G18" t="s">
        <v>47</v>
      </c>
      <c r="H18" t="s">
        <v>48</v>
      </c>
    </row>
    <row r="19" spans="1:18" x14ac:dyDescent="0.3">
      <c r="A19">
        <v>102</v>
      </c>
      <c r="B19" t="s">
        <v>49</v>
      </c>
      <c r="C19">
        <v>2000</v>
      </c>
      <c r="D19" t="s">
        <v>44</v>
      </c>
      <c r="E19">
        <f>IF(C19&lt;=5000,C19*5%,C19*10%)</f>
        <v>100</v>
      </c>
      <c r="G19">
        <f>IF(D19="METRO",C19*5%,IF(D19="NON METRO",C19*10%))</f>
        <v>100</v>
      </c>
      <c r="H19">
        <f>IF(C19&lt;=5000,500,C19*12%)</f>
        <v>500</v>
      </c>
      <c r="I19">
        <f>C19*20%</f>
        <v>400</v>
      </c>
      <c r="J19">
        <f>SUM(C19:H19)</f>
        <v>2700</v>
      </c>
      <c r="L19">
        <f>J19-I19</f>
        <v>2300</v>
      </c>
    </row>
    <row r="20" spans="1:18" x14ac:dyDescent="0.3">
      <c r="A20" s="59" t="s">
        <v>42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</row>
    <row r="21" spans="1:18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1:18" x14ac:dyDescent="0.3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</row>
    <row r="23" spans="1:18" x14ac:dyDescent="0.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</row>
    <row r="24" spans="1:18" x14ac:dyDescent="0.3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</row>
    <row r="25" spans="1:18" x14ac:dyDescent="0.3">
      <c r="A25" t="s">
        <v>31</v>
      </c>
      <c r="B25" t="s">
        <v>32</v>
      </c>
      <c r="C25" t="s">
        <v>33</v>
      </c>
      <c r="D25" t="s">
        <v>43</v>
      </c>
      <c r="E25" t="s">
        <v>34</v>
      </c>
      <c r="F25" t="s">
        <v>50</v>
      </c>
      <c r="G25" t="s">
        <v>35</v>
      </c>
      <c r="H25" t="s">
        <v>36</v>
      </c>
      <c r="I25" t="s">
        <v>37</v>
      </c>
      <c r="J25" t="s">
        <v>38</v>
      </c>
      <c r="K25" t="s">
        <v>51</v>
      </c>
      <c r="L25" t="s">
        <v>39</v>
      </c>
    </row>
    <row r="26" spans="1:18" x14ac:dyDescent="0.3">
      <c r="K26" t="s">
        <v>52</v>
      </c>
      <c r="L26" t="s">
        <v>53</v>
      </c>
    </row>
    <row r="27" spans="1:18" x14ac:dyDescent="0.3">
      <c r="A27">
        <v>101</v>
      </c>
      <c r="B27" t="s">
        <v>40</v>
      </c>
      <c r="C27">
        <v>2000</v>
      </c>
      <c r="D27" t="s">
        <v>44</v>
      </c>
      <c r="E27">
        <f>C27*10%</f>
        <v>200</v>
      </c>
      <c r="F27">
        <v>6</v>
      </c>
      <c r="G27">
        <f>C27*12%</f>
        <v>240</v>
      </c>
      <c r="H27">
        <f>C27*15%</f>
        <v>300</v>
      </c>
      <c r="I27">
        <f>C27*20%</f>
        <v>400</v>
      </c>
      <c r="J27">
        <f>SUM(C27:H27)</f>
        <v>2746</v>
      </c>
      <c r="K27">
        <f>(J27/30)*F27</f>
        <v>549.20000000000005</v>
      </c>
      <c r="L27">
        <f>J27-(K27+I27)</f>
        <v>1796.8</v>
      </c>
    </row>
  </sheetData>
  <mergeCells count="3">
    <mergeCell ref="A1:R5"/>
    <mergeCell ref="A10:R14"/>
    <mergeCell ref="A20:R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F937-539A-4AA1-8BB4-978C493D760E}">
  <dimension ref="B2:M18"/>
  <sheetViews>
    <sheetView workbookViewId="0">
      <selection activeCell="D23" sqref="D23"/>
    </sheetView>
  </sheetViews>
  <sheetFormatPr defaultRowHeight="14.4" x14ac:dyDescent="0.3"/>
  <cols>
    <col min="2" max="2" width="17" bestFit="1" customWidth="1"/>
    <col min="3" max="3" width="7.88671875" bestFit="1" customWidth="1"/>
    <col min="4" max="4" width="32.109375" bestFit="1" customWidth="1"/>
    <col min="5" max="5" width="23.109375" bestFit="1" customWidth="1"/>
    <col min="6" max="6" width="11.6640625" bestFit="1" customWidth="1"/>
    <col min="8" max="8" width="7.109375" bestFit="1" customWidth="1"/>
    <col min="9" max="9" width="32.33203125" bestFit="1" customWidth="1"/>
    <col min="10" max="10" width="12.77734375" bestFit="1" customWidth="1"/>
    <col min="11" max="11" width="11.88671875" bestFit="1" customWidth="1"/>
  </cols>
  <sheetData>
    <row r="2" spans="2:13" x14ac:dyDescent="0.3">
      <c r="B2" t="s">
        <v>55</v>
      </c>
      <c r="C2" t="s">
        <v>54</v>
      </c>
      <c r="D2" t="s">
        <v>56</v>
      </c>
      <c r="E2" t="s">
        <v>65</v>
      </c>
      <c r="F2" t="s">
        <v>73</v>
      </c>
      <c r="G2" t="s">
        <v>74</v>
      </c>
      <c r="H2" t="s">
        <v>75</v>
      </c>
    </row>
    <row r="7" spans="2:13" x14ac:dyDescent="0.3">
      <c r="B7" t="s">
        <v>76</v>
      </c>
      <c r="D7" t="s">
        <v>57</v>
      </c>
      <c r="F7" t="s">
        <v>58</v>
      </c>
      <c r="H7" t="s">
        <v>60</v>
      </c>
      <c r="J7" t="s">
        <v>66</v>
      </c>
      <c r="K7" t="s">
        <v>67</v>
      </c>
      <c r="L7" t="s">
        <v>71</v>
      </c>
      <c r="M7" t="s">
        <v>72</v>
      </c>
    </row>
    <row r="8" spans="2:13" x14ac:dyDescent="0.3">
      <c r="B8" t="s">
        <v>77</v>
      </c>
      <c r="D8">
        <v>2000</v>
      </c>
      <c r="F8">
        <v>30</v>
      </c>
      <c r="H8" t="s">
        <v>61</v>
      </c>
      <c r="J8">
        <v>18</v>
      </c>
      <c r="K8" t="s">
        <v>68</v>
      </c>
      <c r="L8">
        <v>500</v>
      </c>
      <c r="M8">
        <v>3</v>
      </c>
    </row>
    <row r="9" spans="2:13" x14ac:dyDescent="0.3">
      <c r="B9">
        <v>200</v>
      </c>
      <c r="D9">
        <v>4000</v>
      </c>
      <c r="F9">
        <v>50</v>
      </c>
      <c r="H9" t="s">
        <v>61</v>
      </c>
      <c r="J9">
        <v>20</v>
      </c>
      <c r="K9" t="s">
        <v>69</v>
      </c>
      <c r="L9">
        <v>700</v>
      </c>
      <c r="M9">
        <v>5</v>
      </c>
    </row>
    <row r="10" spans="2:13" x14ac:dyDescent="0.3">
      <c r="B10" t="s">
        <v>78</v>
      </c>
      <c r="D10">
        <v>60000</v>
      </c>
      <c r="F10">
        <v>70</v>
      </c>
      <c r="H10" t="s">
        <v>62</v>
      </c>
      <c r="J10">
        <v>22</v>
      </c>
      <c r="K10" t="s">
        <v>68</v>
      </c>
      <c r="L10">
        <v>650</v>
      </c>
      <c r="M10">
        <v>2</v>
      </c>
    </row>
    <row r="11" spans="2:13" x14ac:dyDescent="0.3">
      <c r="B11">
        <v>300</v>
      </c>
      <c r="D11">
        <v>10000</v>
      </c>
      <c r="F11">
        <v>20</v>
      </c>
      <c r="H11" t="s">
        <v>62</v>
      </c>
      <c r="J11">
        <v>16</v>
      </c>
      <c r="K11" t="s">
        <v>68</v>
      </c>
      <c r="L11">
        <v>550</v>
      </c>
      <c r="M11">
        <v>7</v>
      </c>
    </row>
    <row r="12" spans="2:13" x14ac:dyDescent="0.3">
      <c r="B12" t="s">
        <v>79</v>
      </c>
      <c r="D12">
        <v>7000</v>
      </c>
      <c r="F12">
        <v>40</v>
      </c>
      <c r="H12" t="s">
        <v>62</v>
      </c>
      <c r="J12">
        <v>26</v>
      </c>
      <c r="K12" t="s">
        <v>69</v>
      </c>
      <c r="L12">
        <v>750</v>
      </c>
      <c r="M12">
        <v>4</v>
      </c>
    </row>
    <row r="13" spans="2:13" x14ac:dyDescent="0.3">
      <c r="B13">
        <v>400</v>
      </c>
      <c r="D13">
        <v>9000</v>
      </c>
      <c r="F13">
        <v>10</v>
      </c>
      <c r="H13" t="s">
        <v>61</v>
      </c>
      <c r="J13">
        <v>45</v>
      </c>
      <c r="K13" t="s">
        <v>69</v>
      </c>
      <c r="L13">
        <v>781</v>
      </c>
      <c r="M13">
        <v>3</v>
      </c>
    </row>
    <row r="14" spans="2:13" x14ac:dyDescent="0.3">
      <c r="B14" t="s">
        <v>80</v>
      </c>
      <c r="D14">
        <f>COUNTIF(D8:D13,"&gt;4000")</f>
        <v>4</v>
      </c>
      <c r="F14">
        <v>70</v>
      </c>
      <c r="H14" t="s">
        <v>62</v>
      </c>
      <c r="K14" t="s">
        <v>70</v>
      </c>
      <c r="M14">
        <f>COUNTIFS(L8:L13,"&gt;=600",M8:M13,"&gt;=3")</f>
        <v>3</v>
      </c>
    </row>
    <row r="15" spans="2:13" x14ac:dyDescent="0.3">
      <c r="B15">
        <f>COUNT(B8:B13)</f>
        <v>3</v>
      </c>
      <c r="F15" t="s">
        <v>59</v>
      </c>
      <c r="H15" t="s">
        <v>62</v>
      </c>
      <c r="K15">
        <f>COUNTIFS(K8:K13,"=FEMALE",J8:J13,"&gt;18")</f>
        <v>3</v>
      </c>
    </row>
    <row r="16" spans="2:13" x14ac:dyDescent="0.3">
      <c r="B16" t="s">
        <v>81</v>
      </c>
      <c r="D16">
        <f>COUNTIF(F8:F14,"&gt;40")</f>
        <v>3</v>
      </c>
      <c r="F16" t="s">
        <v>61</v>
      </c>
    </row>
    <row r="17" spans="2:6" x14ac:dyDescent="0.3">
      <c r="B17">
        <f>COUNTA(B8:B13)</f>
        <v>6</v>
      </c>
      <c r="E17" t="s">
        <v>63</v>
      </c>
      <c r="F17">
        <f>COUNTIF(F8:F16,"=P")</f>
        <v>1</v>
      </c>
    </row>
    <row r="18" spans="2:6" x14ac:dyDescent="0.3">
      <c r="E18" t="s">
        <v>64</v>
      </c>
      <c r="F18">
        <f>COUNTIF(F8:F16,"=A")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0FC7-9310-41D0-830C-99A7B2600B5C}">
  <dimension ref="A1:P124"/>
  <sheetViews>
    <sheetView workbookViewId="0">
      <selection activeCell="H121" sqref="H121"/>
    </sheetView>
  </sheetViews>
  <sheetFormatPr defaultColWidth="12.44140625" defaultRowHeight="14.4" x14ac:dyDescent="0.3"/>
  <cols>
    <col min="1" max="1" width="12.33203125" bestFit="1" customWidth="1"/>
    <col min="2" max="2" width="12.77734375" bestFit="1" customWidth="1"/>
    <col min="3" max="3" width="10" bestFit="1" customWidth="1"/>
    <col min="4" max="4" width="12.77734375" bestFit="1" customWidth="1"/>
    <col min="5" max="5" width="10.77734375" bestFit="1" customWidth="1"/>
    <col min="6" max="6" width="15.88671875" bestFit="1" customWidth="1"/>
    <col min="7" max="7" width="23" bestFit="1" customWidth="1"/>
    <col min="8" max="8" width="16.33203125" bestFit="1" customWidth="1"/>
    <col min="9" max="9" width="10.109375" bestFit="1" customWidth="1"/>
    <col min="10" max="10" width="12.33203125" bestFit="1" customWidth="1"/>
    <col min="11" max="11" width="18.5546875" bestFit="1" customWidth="1"/>
  </cols>
  <sheetData>
    <row r="1" spans="1:8" x14ac:dyDescent="0.3">
      <c r="A1" s="4" t="s">
        <v>82</v>
      </c>
      <c r="B1" s="4" t="s">
        <v>83</v>
      </c>
      <c r="C1" s="4" t="s">
        <v>84</v>
      </c>
      <c r="D1" s="4" t="s">
        <v>85</v>
      </c>
      <c r="E1" s="4" t="s">
        <v>86</v>
      </c>
      <c r="G1" s="17" t="s">
        <v>117</v>
      </c>
      <c r="H1" s="17"/>
    </row>
    <row r="2" spans="1:8" x14ac:dyDescent="0.3">
      <c r="A2" s="4" t="s">
        <v>87</v>
      </c>
      <c r="B2" s="4" t="s">
        <v>88</v>
      </c>
      <c r="C2" s="4" t="s">
        <v>89</v>
      </c>
      <c r="D2" s="5">
        <v>55000</v>
      </c>
      <c r="E2" s="4" t="s">
        <v>90</v>
      </c>
      <c r="G2" s="18" t="s">
        <v>118</v>
      </c>
      <c r="H2" s="17"/>
    </row>
    <row r="3" spans="1:8" x14ac:dyDescent="0.3">
      <c r="A3" s="4" t="s">
        <v>91</v>
      </c>
      <c r="B3" s="4" t="s">
        <v>92</v>
      </c>
      <c r="C3" s="4" t="s">
        <v>89</v>
      </c>
      <c r="D3" s="5">
        <v>1500</v>
      </c>
      <c r="E3" s="4" t="s">
        <v>93</v>
      </c>
      <c r="G3" s="17">
        <f>VLOOKUP("P101",A1:E11,4,FALSE)</f>
        <v>55000</v>
      </c>
      <c r="H3" s="17"/>
    </row>
    <row r="4" spans="1:8" x14ac:dyDescent="0.3">
      <c r="A4" s="4" t="s">
        <v>94</v>
      </c>
      <c r="B4" s="4" t="s">
        <v>95</v>
      </c>
      <c r="C4" s="4" t="s">
        <v>96</v>
      </c>
      <c r="D4" s="5">
        <v>8500</v>
      </c>
      <c r="E4" s="4" t="s">
        <v>97</v>
      </c>
      <c r="G4" s="17" t="str">
        <f>VLOOKUP("P107",A1:E11,3,FALSE)</f>
        <v>Electronics</v>
      </c>
      <c r="H4" s="17"/>
    </row>
    <row r="5" spans="1:8" x14ac:dyDescent="0.3">
      <c r="A5" s="4" t="s">
        <v>98</v>
      </c>
      <c r="B5" s="4" t="s">
        <v>99</v>
      </c>
      <c r="C5" s="4" t="s">
        <v>96</v>
      </c>
      <c r="D5" s="5">
        <v>12000</v>
      </c>
      <c r="E5" s="4" t="s">
        <v>100</v>
      </c>
      <c r="G5" s="17" t="str">
        <f>VLOOKUP("P109",A1:E11,2,FALSE)</f>
        <v>Headphones</v>
      </c>
      <c r="H5" s="17"/>
    </row>
    <row r="6" spans="1:8" x14ac:dyDescent="0.3">
      <c r="A6" s="4" t="s">
        <v>101</v>
      </c>
      <c r="B6" s="4" t="s">
        <v>102</v>
      </c>
      <c r="C6" s="4" t="s">
        <v>89</v>
      </c>
      <c r="D6" s="5">
        <v>800</v>
      </c>
      <c r="E6" s="4" t="s">
        <v>93</v>
      </c>
      <c r="G6" s="17"/>
      <c r="H6" s="17"/>
    </row>
    <row r="7" spans="1:8" x14ac:dyDescent="0.3">
      <c r="A7" s="4" t="s">
        <v>103</v>
      </c>
      <c r="B7" s="4" t="s">
        <v>104</v>
      </c>
      <c r="C7" s="4" t="s">
        <v>89</v>
      </c>
      <c r="D7" s="5">
        <v>15000</v>
      </c>
      <c r="E7" s="4" t="s">
        <v>105</v>
      </c>
      <c r="G7" s="17"/>
      <c r="H7" s="17"/>
    </row>
    <row r="8" spans="1:8" x14ac:dyDescent="0.3">
      <c r="A8" s="4" t="s">
        <v>106</v>
      </c>
      <c r="B8" s="4" t="s">
        <v>107</v>
      </c>
      <c r="C8" s="4" t="s">
        <v>89</v>
      </c>
      <c r="D8" s="5">
        <v>18000</v>
      </c>
      <c r="E8" s="4" t="s">
        <v>108</v>
      </c>
      <c r="G8" s="17"/>
      <c r="H8" s="17"/>
    </row>
    <row r="9" spans="1:8" x14ac:dyDescent="0.3">
      <c r="A9" s="4" t="s">
        <v>109</v>
      </c>
      <c r="B9" s="4" t="s">
        <v>110</v>
      </c>
      <c r="C9" s="4" t="s">
        <v>96</v>
      </c>
      <c r="D9" s="5">
        <v>7000</v>
      </c>
      <c r="E9" s="4" t="s">
        <v>100</v>
      </c>
      <c r="G9" s="17"/>
      <c r="H9" s="17"/>
    </row>
    <row r="10" spans="1:8" x14ac:dyDescent="0.3">
      <c r="A10" s="4" t="s">
        <v>111</v>
      </c>
      <c r="B10" s="4" t="s">
        <v>112</v>
      </c>
      <c r="C10" s="4" t="s">
        <v>89</v>
      </c>
      <c r="D10" s="5">
        <v>2500</v>
      </c>
      <c r="E10" s="4" t="s">
        <v>113</v>
      </c>
      <c r="G10" s="17"/>
      <c r="H10" s="17"/>
    </row>
    <row r="11" spans="1:8" x14ac:dyDescent="0.3">
      <c r="A11" s="4" t="s">
        <v>114</v>
      </c>
      <c r="B11" s="4" t="s">
        <v>115</v>
      </c>
      <c r="C11" s="4" t="s">
        <v>89</v>
      </c>
      <c r="D11" s="5">
        <v>4500</v>
      </c>
      <c r="E11" s="4" t="s">
        <v>116</v>
      </c>
      <c r="G11" s="17"/>
      <c r="H11" s="17"/>
    </row>
    <row r="12" spans="1:8" x14ac:dyDescent="0.3">
      <c r="G12" s="17"/>
      <c r="H12" s="17"/>
    </row>
    <row r="13" spans="1:8" x14ac:dyDescent="0.3">
      <c r="A13" s="4" t="s">
        <v>82</v>
      </c>
      <c r="B13" t="s">
        <v>84</v>
      </c>
      <c r="C13" t="s">
        <v>86</v>
      </c>
      <c r="G13" s="17" t="s">
        <v>119</v>
      </c>
      <c r="H13" s="17"/>
    </row>
    <row r="14" spans="1:8" x14ac:dyDescent="0.3">
      <c r="A14" s="4" t="s">
        <v>111</v>
      </c>
      <c r="B14" t="str">
        <f>VLOOKUP(A14,A1:E11,3,0)</f>
        <v>Electronics</v>
      </c>
      <c r="G14" s="17">
        <f>VLOOKUP("Laptop",B1:E11,3,FALSE)</f>
        <v>55000</v>
      </c>
      <c r="H14" s="17"/>
    </row>
    <row r="15" spans="1:8" x14ac:dyDescent="0.3">
      <c r="A15" s="4" t="s">
        <v>101</v>
      </c>
      <c r="B15" t="str">
        <f>VLOOKUP(A15,A1:E11,3,FALSE)</f>
        <v>Electronics</v>
      </c>
      <c r="G15" s="17"/>
      <c r="H15" s="17"/>
    </row>
    <row r="16" spans="1:8" x14ac:dyDescent="0.3">
      <c r="A16" s="4" t="s">
        <v>91</v>
      </c>
      <c r="B16" t="str">
        <f>VLOOKUP(A16,A1:E11,3,FALSE)</f>
        <v>Electronics</v>
      </c>
      <c r="G16" s="17" t="s">
        <v>120</v>
      </c>
      <c r="H16" s="17"/>
    </row>
    <row r="17" spans="1:10" x14ac:dyDescent="0.3">
      <c r="G17" s="17" t="str">
        <f>VLOOKUP("Mouse",B1:E11,4,)</f>
        <v>Logitech</v>
      </c>
      <c r="H17" s="17"/>
    </row>
    <row r="18" spans="1:10" x14ac:dyDescent="0.3">
      <c r="G18" s="17"/>
      <c r="H18" s="17"/>
    </row>
    <row r="19" spans="1:10" x14ac:dyDescent="0.3">
      <c r="A19" t="s">
        <v>121</v>
      </c>
      <c r="B19" t="s">
        <v>122</v>
      </c>
      <c r="C19" t="s">
        <v>86</v>
      </c>
      <c r="G19" s="17"/>
      <c r="H19" s="17"/>
    </row>
    <row r="20" spans="1:10" x14ac:dyDescent="0.3">
      <c r="A20" t="s">
        <v>95</v>
      </c>
      <c r="B20">
        <f>VLOOKUP("Office Chair",B1:E11,3,)</f>
        <v>8500</v>
      </c>
      <c r="G20" s="17"/>
      <c r="H20" s="17"/>
    </row>
    <row r="21" spans="1:10" x14ac:dyDescent="0.3">
      <c r="A21" t="s">
        <v>99</v>
      </c>
      <c r="B21">
        <f>VLOOKUP("Desk",B1:E11,3,)</f>
        <v>12000</v>
      </c>
      <c r="G21" s="17"/>
      <c r="H21" s="17"/>
    </row>
    <row r="22" spans="1:10" x14ac:dyDescent="0.3">
      <c r="A22" t="s">
        <v>102</v>
      </c>
      <c r="B22">
        <f>VLOOKUP("Mouse",B1:E11,3,)</f>
        <v>800</v>
      </c>
      <c r="G22" s="17"/>
      <c r="H22" s="17"/>
    </row>
    <row r="23" spans="1:10" x14ac:dyDescent="0.3">
      <c r="A23" t="s">
        <v>104</v>
      </c>
      <c r="B23">
        <f>VLOOKUP(A23,B1:E11,3,)</f>
        <v>15000</v>
      </c>
      <c r="G23" s="17" t="s">
        <v>123</v>
      </c>
      <c r="H23" s="17"/>
    </row>
    <row r="24" spans="1:10" ht="15.6" x14ac:dyDescent="0.3">
      <c r="G24" s="56" t="s">
        <v>124</v>
      </c>
      <c r="H24" s="17"/>
    </row>
    <row r="25" spans="1:10" x14ac:dyDescent="0.3">
      <c r="G25" s="17" t="str">
        <f>_xlfn.XLOOKUP("HP",E1:E11,A1:A11,FALSE)</f>
        <v>P101</v>
      </c>
      <c r="H25" s="17"/>
    </row>
    <row r="26" spans="1:10" x14ac:dyDescent="0.3">
      <c r="G26" s="17"/>
      <c r="H26" s="17"/>
    </row>
    <row r="27" spans="1:10" x14ac:dyDescent="0.3">
      <c r="B27" s="18" t="s">
        <v>246</v>
      </c>
      <c r="C27" s="18"/>
      <c r="D27" s="18"/>
      <c r="E27" s="18"/>
      <c r="G27" s="17" t="s">
        <v>240</v>
      </c>
      <c r="H27" s="17" t="s">
        <v>242</v>
      </c>
      <c r="J27" t="s">
        <v>244</v>
      </c>
    </row>
    <row r="28" spans="1:10" x14ac:dyDescent="0.3">
      <c r="B28">
        <f>INDEX(D1:D11,MATCH("Webcam",B1:B11,FALSE))</f>
        <v>4500</v>
      </c>
      <c r="G28" s="18" t="s">
        <v>241</v>
      </c>
      <c r="H28" s="17"/>
    </row>
    <row r="29" spans="1:10" x14ac:dyDescent="0.3">
      <c r="B29" t="s">
        <v>247</v>
      </c>
      <c r="G29" s="17">
        <f>MATCH("P109",A1:A11,FALSE)</f>
        <v>10</v>
      </c>
      <c r="H29" s="17">
        <f>MATCH("Sony",E1:E11,FALSE)</f>
        <v>10</v>
      </c>
      <c r="J29">
        <f>MATCH("Lenovo",E1:E11,FALSE)</f>
        <v>11</v>
      </c>
    </row>
    <row r="30" spans="1:10" x14ac:dyDescent="0.3">
      <c r="B30" t="str">
        <f>INDEX(E1:E11,MATCH("Mouse",B1:B11,FALSE))</f>
        <v>Logitech</v>
      </c>
      <c r="G30" s="17" t="s">
        <v>243</v>
      </c>
      <c r="H30" s="17"/>
      <c r="J30" t="s">
        <v>245</v>
      </c>
    </row>
    <row r="31" spans="1:10" ht="15.6" x14ac:dyDescent="0.3">
      <c r="B31" t="s">
        <v>248</v>
      </c>
      <c r="G31" s="56" t="str">
        <f>PROPER("index function")</f>
        <v>Index Function</v>
      </c>
      <c r="H31" s="17"/>
    </row>
    <row r="32" spans="1:10" x14ac:dyDescent="0.3">
      <c r="B32">
        <f>INDEX(D1:D11,MATCH("Keyboard",B1:B11,FALSE))</f>
        <v>1500</v>
      </c>
      <c r="G32" s="17" t="str">
        <f>INDEX(E1:E11,3)</f>
        <v>Logitech</v>
      </c>
      <c r="H32" s="17"/>
      <c r="J32" t="str">
        <f>INDEX(B1:B11,5)</f>
        <v>Desk</v>
      </c>
    </row>
    <row r="33" spans="1:8" x14ac:dyDescent="0.3">
      <c r="G33" s="17"/>
      <c r="H33" s="17"/>
    </row>
    <row r="34" spans="1:8" ht="16.8" x14ac:dyDescent="0.4">
      <c r="B34" s="3" t="s">
        <v>249</v>
      </c>
    </row>
    <row r="35" spans="1:8" ht="16.8" x14ac:dyDescent="0.4">
      <c r="B35" s="3">
        <f>INDEX(D1:D11,MATCH("Printer",B1:B11,FALSE))</f>
        <v>15000</v>
      </c>
    </row>
    <row r="36" spans="1:8" ht="16.8" x14ac:dyDescent="0.4">
      <c r="B36" s="3" t="s">
        <v>250</v>
      </c>
    </row>
    <row r="37" spans="1:8" x14ac:dyDescent="0.3">
      <c r="B37" t="str">
        <f>INDEX(C1:C11,MATCH("Webcam",B1:B11,FALSE))</f>
        <v>Electronics</v>
      </c>
    </row>
    <row r="41" spans="1:8" x14ac:dyDescent="0.3">
      <c r="A41" s="4" t="s">
        <v>84</v>
      </c>
      <c r="B41" s="4" t="s">
        <v>85</v>
      </c>
      <c r="C41" s="4" t="s">
        <v>86</v>
      </c>
      <c r="D41" s="4" t="s">
        <v>83</v>
      </c>
      <c r="E41" s="4" t="s">
        <v>82</v>
      </c>
    </row>
    <row r="42" spans="1:8" x14ac:dyDescent="0.3">
      <c r="A42" s="4" t="s">
        <v>89</v>
      </c>
      <c r="B42" s="5">
        <v>55000</v>
      </c>
      <c r="C42" s="4" t="s">
        <v>90</v>
      </c>
      <c r="D42" s="4" t="s">
        <v>88</v>
      </c>
      <c r="E42" s="4" t="s">
        <v>87</v>
      </c>
    </row>
    <row r="43" spans="1:8" x14ac:dyDescent="0.3">
      <c r="A43" s="4" t="s">
        <v>89</v>
      </c>
      <c r="B43" s="5">
        <v>1500</v>
      </c>
      <c r="C43" s="4" t="s">
        <v>93</v>
      </c>
      <c r="D43" s="4" t="s">
        <v>92</v>
      </c>
      <c r="E43" s="4" t="s">
        <v>91</v>
      </c>
    </row>
    <row r="44" spans="1:8" x14ac:dyDescent="0.3">
      <c r="A44" s="4" t="s">
        <v>96</v>
      </c>
      <c r="B44" s="5">
        <v>8500</v>
      </c>
      <c r="C44" s="4" t="s">
        <v>97</v>
      </c>
      <c r="D44" s="4" t="s">
        <v>95</v>
      </c>
      <c r="E44" s="4" t="s">
        <v>94</v>
      </c>
    </row>
    <row r="45" spans="1:8" x14ac:dyDescent="0.3">
      <c r="A45" s="4" t="s">
        <v>96</v>
      </c>
      <c r="B45" s="5">
        <v>12000</v>
      </c>
      <c r="C45" s="4" t="s">
        <v>100</v>
      </c>
      <c r="D45" s="4" t="s">
        <v>99</v>
      </c>
      <c r="E45" s="4" t="s">
        <v>98</v>
      </c>
    </row>
    <row r="46" spans="1:8" x14ac:dyDescent="0.3">
      <c r="A46" s="4" t="s">
        <v>89</v>
      </c>
      <c r="B46" s="5">
        <v>800</v>
      </c>
      <c r="C46" s="4" t="s">
        <v>93</v>
      </c>
      <c r="D46" s="4" t="s">
        <v>102</v>
      </c>
      <c r="E46" s="4" t="s">
        <v>101</v>
      </c>
    </row>
    <row r="47" spans="1:8" x14ac:dyDescent="0.3">
      <c r="A47" s="4" t="s">
        <v>89</v>
      </c>
      <c r="B47" s="5">
        <v>15000</v>
      </c>
      <c r="C47" s="4" t="s">
        <v>105</v>
      </c>
      <c r="D47" s="4" t="s">
        <v>104</v>
      </c>
      <c r="E47" s="4" t="s">
        <v>103</v>
      </c>
    </row>
    <row r="48" spans="1:8" x14ac:dyDescent="0.3">
      <c r="A48" s="4" t="s">
        <v>89</v>
      </c>
      <c r="B48" s="5">
        <v>18000</v>
      </c>
      <c r="C48" s="4" t="s">
        <v>108</v>
      </c>
      <c r="D48" s="4" t="s">
        <v>107</v>
      </c>
      <c r="E48" s="4" t="s">
        <v>106</v>
      </c>
    </row>
    <row r="49" spans="1:16" x14ac:dyDescent="0.3">
      <c r="A49" s="4" t="s">
        <v>96</v>
      </c>
      <c r="B49" s="5">
        <v>7000</v>
      </c>
      <c r="C49" s="4" t="s">
        <v>100</v>
      </c>
      <c r="D49" s="4" t="s">
        <v>110</v>
      </c>
      <c r="E49" s="4" t="s">
        <v>109</v>
      </c>
    </row>
    <row r="50" spans="1:16" x14ac:dyDescent="0.3">
      <c r="A50" s="4" t="s">
        <v>89</v>
      </c>
      <c r="B50" s="5">
        <v>2500</v>
      </c>
      <c r="C50" s="4" t="s">
        <v>113</v>
      </c>
      <c r="D50" s="4" t="s">
        <v>112</v>
      </c>
      <c r="E50" s="4" t="s">
        <v>111</v>
      </c>
    </row>
    <row r="51" spans="1:16" x14ac:dyDescent="0.3">
      <c r="A51" s="4" t="s">
        <v>89</v>
      </c>
      <c r="B51" s="5">
        <v>4500</v>
      </c>
      <c r="C51" s="4" t="s">
        <v>116</v>
      </c>
      <c r="D51" s="4" t="s">
        <v>115</v>
      </c>
      <c r="E51" s="4" t="s">
        <v>114</v>
      </c>
    </row>
    <row r="54" spans="1:16" x14ac:dyDescent="0.3">
      <c r="A54" s="8" t="s">
        <v>125</v>
      </c>
      <c r="B54" s="9" t="s">
        <v>2</v>
      </c>
      <c r="C54" s="8" t="s">
        <v>126</v>
      </c>
      <c r="D54" s="9" t="s">
        <v>127</v>
      </c>
      <c r="E54" s="9" t="s">
        <v>128</v>
      </c>
      <c r="F54" s="9" t="s">
        <v>129</v>
      </c>
      <c r="H54" s="8" t="s">
        <v>131</v>
      </c>
      <c r="I54" s="9" t="s">
        <v>132</v>
      </c>
      <c r="J54" s="9" t="s">
        <v>133</v>
      </c>
      <c r="K54" s="8" t="s">
        <v>134</v>
      </c>
      <c r="L54" s="8" t="s">
        <v>238</v>
      </c>
      <c r="M54" t="s">
        <v>125</v>
      </c>
      <c r="N54" t="s">
        <v>66</v>
      </c>
      <c r="O54" t="s">
        <v>200</v>
      </c>
      <c r="P54" t="s">
        <v>130</v>
      </c>
    </row>
    <row r="55" spans="1:16" x14ac:dyDescent="0.3">
      <c r="A55" s="10">
        <v>1001</v>
      </c>
      <c r="B55" s="11" t="s">
        <v>135</v>
      </c>
      <c r="C55" s="10">
        <v>28</v>
      </c>
      <c r="D55" s="11" t="s">
        <v>136</v>
      </c>
      <c r="E55" s="11" t="s">
        <v>137</v>
      </c>
      <c r="F55" s="11" t="s">
        <v>138</v>
      </c>
      <c r="G55" s="8" t="s">
        <v>130</v>
      </c>
      <c r="H55" s="10">
        <v>4</v>
      </c>
      <c r="I55" s="11" t="s">
        <v>139</v>
      </c>
      <c r="J55" s="12">
        <v>44635</v>
      </c>
      <c r="K55" s="10">
        <v>4</v>
      </c>
      <c r="L55">
        <f>IF(G56&lt;=50000,G56*0.05,G56*0.1)</f>
        <v>6500</v>
      </c>
      <c r="M55">
        <v>1003</v>
      </c>
      <c r="N55">
        <f>VLOOKUP(M55,A54:K83,3,FALSE)</f>
        <v>26</v>
      </c>
      <c r="O55" t="str">
        <f>VLOOKUP(M55,A54:K83,6,FALSE)</f>
        <v>Accountant</v>
      </c>
    </row>
    <row r="56" spans="1:16" x14ac:dyDescent="0.3">
      <c r="A56" s="10">
        <v>1002</v>
      </c>
      <c r="B56" s="11" t="s">
        <v>140</v>
      </c>
      <c r="C56" s="10">
        <v>32</v>
      </c>
      <c r="D56" s="11" t="s">
        <v>141</v>
      </c>
      <c r="E56" s="11" t="s">
        <v>142</v>
      </c>
      <c r="F56" s="11" t="s">
        <v>143</v>
      </c>
      <c r="G56" s="10">
        <v>65000</v>
      </c>
      <c r="H56" s="10">
        <v>8</v>
      </c>
      <c r="I56" s="11" t="s">
        <v>144</v>
      </c>
      <c r="J56" s="12">
        <v>43301</v>
      </c>
      <c r="K56" s="10">
        <v>5</v>
      </c>
      <c r="L56">
        <f t="shared" ref="L56:L83" si="0">IF(G57&lt;=50000,G57*0.05,G57*0.1)</f>
        <v>8500</v>
      </c>
      <c r="M56">
        <v>1007</v>
      </c>
      <c r="N56">
        <f>VLOOKUP(M56,A54:K83,3,FALSE)</f>
        <v>31</v>
      </c>
      <c r="O56" t="str">
        <f>VLOOKUP(M56,A55:K83,6,FALSE)</f>
        <v>Team Lead</v>
      </c>
    </row>
    <row r="57" spans="1:16" x14ac:dyDescent="0.3">
      <c r="A57" s="10">
        <v>1003</v>
      </c>
      <c r="B57" s="11" t="s">
        <v>145</v>
      </c>
      <c r="C57" s="10">
        <v>26</v>
      </c>
      <c r="D57" s="11" t="s">
        <v>136</v>
      </c>
      <c r="E57" s="11" t="s">
        <v>146</v>
      </c>
      <c r="F57" s="11" t="s">
        <v>147</v>
      </c>
      <c r="G57" s="10">
        <v>85000</v>
      </c>
      <c r="H57" s="10">
        <v>3</v>
      </c>
      <c r="I57" s="11" t="s">
        <v>139</v>
      </c>
      <c r="J57" s="12">
        <v>44936</v>
      </c>
      <c r="K57" s="10">
        <v>3</v>
      </c>
      <c r="L57">
        <f t="shared" si="0"/>
        <v>5200</v>
      </c>
      <c r="M57">
        <v>1006</v>
      </c>
      <c r="N57">
        <f>VLOOKUP(M57,A54:K83,3,FALSE)</f>
        <v>27</v>
      </c>
      <c r="O57" t="str">
        <f>VLOOKUP(M57,A56:K83,6,FALSE)</f>
        <v>Executive</v>
      </c>
    </row>
    <row r="58" spans="1:16" x14ac:dyDescent="0.3">
      <c r="A58" s="10">
        <v>1004</v>
      </c>
      <c r="B58" s="11" t="s">
        <v>148</v>
      </c>
      <c r="C58" s="10">
        <v>30</v>
      </c>
      <c r="D58" s="11" t="s">
        <v>141</v>
      </c>
      <c r="E58" s="11" t="s">
        <v>137</v>
      </c>
      <c r="F58" s="11" t="s">
        <v>149</v>
      </c>
      <c r="G58" s="10">
        <v>52000</v>
      </c>
      <c r="H58" s="10">
        <v>5</v>
      </c>
      <c r="I58" s="11" t="s">
        <v>150</v>
      </c>
      <c r="J58" s="12">
        <v>44328</v>
      </c>
      <c r="K58" s="10">
        <v>4</v>
      </c>
      <c r="L58">
        <f t="shared" si="0"/>
        <v>7200</v>
      </c>
      <c r="M58">
        <v>1008</v>
      </c>
      <c r="N58">
        <f>VLOOKUP(M58,A54:K83,3,FALSE)</f>
        <v>29</v>
      </c>
      <c r="O58" t="str">
        <f>VLOOKUP(M58,A57:K96,6,FALSE)</f>
        <v>Financial Analyst</v>
      </c>
    </row>
    <row r="59" spans="1:16" x14ac:dyDescent="0.3">
      <c r="A59" s="10">
        <v>1005</v>
      </c>
      <c r="B59" s="11" t="s">
        <v>151</v>
      </c>
      <c r="C59" s="10">
        <v>35</v>
      </c>
      <c r="D59" s="11" t="s">
        <v>136</v>
      </c>
      <c r="E59" s="11" t="s">
        <v>152</v>
      </c>
      <c r="F59" s="11" t="s">
        <v>153</v>
      </c>
      <c r="G59" s="10">
        <v>72000</v>
      </c>
      <c r="H59" s="10">
        <v>10</v>
      </c>
      <c r="I59" s="11" t="s">
        <v>154</v>
      </c>
      <c r="J59" s="12">
        <v>42607</v>
      </c>
      <c r="K59" s="10">
        <v>5</v>
      </c>
      <c r="L59">
        <f t="shared" si="0"/>
        <v>9000</v>
      </c>
    </row>
    <row r="60" spans="1:16" x14ac:dyDescent="0.3">
      <c r="A60" s="10">
        <v>1006</v>
      </c>
      <c r="B60" s="11" t="s">
        <v>155</v>
      </c>
      <c r="C60" s="10">
        <v>27</v>
      </c>
      <c r="D60" s="11" t="s">
        <v>141</v>
      </c>
      <c r="E60" s="11" t="s">
        <v>156</v>
      </c>
      <c r="F60" s="11" t="s">
        <v>157</v>
      </c>
      <c r="G60" s="10">
        <v>90000</v>
      </c>
      <c r="H60" s="10">
        <v>2</v>
      </c>
      <c r="I60" s="11" t="s">
        <v>139</v>
      </c>
      <c r="J60" s="12">
        <v>45340</v>
      </c>
      <c r="K60" s="10">
        <v>3</v>
      </c>
      <c r="L60">
        <f t="shared" si="0"/>
        <v>2400</v>
      </c>
    </row>
    <row r="61" spans="1:16" x14ac:dyDescent="0.3">
      <c r="A61" s="10">
        <v>1007</v>
      </c>
      <c r="B61" s="11" t="s">
        <v>158</v>
      </c>
      <c r="C61" s="10">
        <v>31</v>
      </c>
      <c r="D61" s="11" t="s">
        <v>136</v>
      </c>
      <c r="E61" s="11" t="s">
        <v>137</v>
      </c>
      <c r="F61" s="11" t="s">
        <v>159</v>
      </c>
      <c r="G61" s="10">
        <v>48000</v>
      </c>
      <c r="H61" s="10">
        <v>9</v>
      </c>
      <c r="I61" s="11" t="s">
        <v>160</v>
      </c>
      <c r="J61" s="12">
        <v>43044</v>
      </c>
      <c r="K61" s="10">
        <v>4</v>
      </c>
      <c r="L61">
        <f t="shared" si="0"/>
        <v>9800</v>
      </c>
    </row>
    <row r="62" spans="1:16" x14ac:dyDescent="0.3">
      <c r="A62" s="10">
        <v>1008</v>
      </c>
      <c r="B62" s="11" t="s">
        <v>161</v>
      </c>
      <c r="C62" s="10">
        <v>29</v>
      </c>
      <c r="D62" s="11" t="s">
        <v>141</v>
      </c>
      <c r="E62" s="11" t="s">
        <v>146</v>
      </c>
      <c r="F62" s="11" t="s">
        <v>162</v>
      </c>
      <c r="G62" s="10">
        <v>98000</v>
      </c>
      <c r="H62" s="10">
        <v>5</v>
      </c>
      <c r="I62" s="11" t="s">
        <v>150</v>
      </c>
      <c r="J62" s="12">
        <v>44453</v>
      </c>
      <c r="K62" s="10">
        <v>4</v>
      </c>
      <c r="L62">
        <f t="shared" si="0"/>
        <v>6800</v>
      </c>
    </row>
    <row r="63" spans="1:16" x14ac:dyDescent="0.3">
      <c r="A63" s="10">
        <v>1009</v>
      </c>
      <c r="B63" s="11" t="s">
        <v>163</v>
      </c>
      <c r="C63" s="10">
        <v>25</v>
      </c>
      <c r="D63" s="11" t="s">
        <v>136</v>
      </c>
      <c r="E63" s="11" t="s">
        <v>152</v>
      </c>
      <c r="F63" s="11" t="s">
        <v>164</v>
      </c>
      <c r="G63" s="10">
        <v>68000</v>
      </c>
      <c r="H63" s="10">
        <v>2</v>
      </c>
      <c r="I63" s="11" t="s">
        <v>144</v>
      </c>
      <c r="J63" s="12">
        <v>45313</v>
      </c>
      <c r="K63" s="10">
        <v>3</v>
      </c>
      <c r="L63">
        <f t="shared" si="0"/>
        <v>2250</v>
      </c>
    </row>
    <row r="64" spans="1:16" x14ac:dyDescent="0.3">
      <c r="A64" s="10">
        <v>1010</v>
      </c>
      <c r="B64" s="11" t="s">
        <v>165</v>
      </c>
      <c r="C64" s="10">
        <v>34</v>
      </c>
      <c r="D64" s="11" t="s">
        <v>141</v>
      </c>
      <c r="E64" s="11" t="s">
        <v>142</v>
      </c>
      <c r="F64" s="11" t="s">
        <v>166</v>
      </c>
      <c r="G64" s="10">
        <v>45000</v>
      </c>
      <c r="H64" s="10">
        <v>6</v>
      </c>
      <c r="I64" s="11" t="s">
        <v>139</v>
      </c>
      <c r="J64" s="12">
        <v>43993</v>
      </c>
      <c r="K64" s="10">
        <v>4</v>
      </c>
      <c r="L64">
        <f t="shared" si="0"/>
        <v>5800</v>
      </c>
      <c r="M64" s="13" t="s">
        <v>2</v>
      </c>
      <c r="N64" s="13" t="s">
        <v>133</v>
      </c>
      <c r="O64" s="13" t="s">
        <v>132</v>
      </c>
      <c r="P64" s="14"/>
    </row>
    <row r="65" spans="1:16" x14ac:dyDescent="0.3">
      <c r="A65" s="10">
        <v>1011</v>
      </c>
      <c r="B65" s="11" t="s">
        <v>167</v>
      </c>
      <c r="C65" s="10">
        <v>29</v>
      </c>
      <c r="D65" s="11" t="s">
        <v>136</v>
      </c>
      <c r="E65" s="11" t="s">
        <v>137</v>
      </c>
      <c r="F65" s="11" t="s">
        <v>138</v>
      </c>
      <c r="G65" s="10">
        <v>58000</v>
      </c>
      <c r="H65" s="10">
        <v>5</v>
      </c>
      <c r="I65" s="11" t="s">
        <v>168</v>
      </c>
      <c r="J65" s="12">
        <v>44263</v>
      </c>
      <c r="K65" s="10">
        <v>5</v>
      </c>
      <c r="L65">
        <f t="shared" si="0"/>
        <v>7000</v>
      </c>
      <c r="M65" s="13" t="s">
        <v>151</v>
      </c>
      <c r="N65" s="14">
        <f>_xlfn.XLOOKUP(M65,B54:B83,J54:J83,FALSE)</f>
        <v>42607</v>
      </c>
      <c r="O65" s="14"/>
      <c r="P65" s="14"/>
    </row>
    <row r="66" spans="1:16" x14ac:dyDescent="0.3">
      <c r="A66" s="10">
        <v>1012</v>
      </c>
      <c r="B66" s="11" t="s">
        <v>169</v>
      </c>
      <c r="C66" s="10">
        <v>38</v>
      </c>
      <c r="D66" s="11" t="s">
        <v>141</v>
      </c>
      <c r="E66" s="11" t="s">
        <v>146</v>
      </c>
      <c r="F66" s="11" t="s">
        <v>170</v>
      </c>
      <c r="G66" s="10">
        <v>70000</v>
      </c>
      <c r="H66" s="10">
        <v>12</v>
      </c>
      <c r="I66" s="11" t="s">
        <v>154</v>
      </c>
      <c r="J66" s="12">
        <v>41746</v>
      </c>
      <c r="K66" s="10">
        <v>5</v>
      </c>
      <c r="L66">
        <f t="shared" si="0"/>
        <v>10500</v>
      </c>
      <c r="M66" s="13" t="s">
        <v>155</v>
      </c>
      <c r="N66" s="14"/>
      <c r="O66" s="14"/>
      <c r="P66" s="14"/>
    </row>
    <row r="67" spans="1:16" x14ac:dyDescent="0.3">
      <c r="A67" s="10">
        <v>1013</v>
      </c>
      <c r="B67" s="11" t="s">
        <v>171</v>
      </c>
      <c r="C67" s="10">
        <v>27</v>
      </c>
      <c r="D67" s="11" t="s">
        <v>136</v>
      </c>
      <c r="E67" s="11" t="s">
        <v>156</v>
      </c>
      <c r="F67" s="11" t="s">
        <v>157</v>
      </c>
      <c r="G67" s="10">
        <v>105000</v>
      </c>
      <c r="H67" s="10">
        <v>3</v>
      </c>
      <c r="I67" s="11" t="s">
        <v>172</v>
      </c>
      <c r="J67" s="12">
        <v>45108</v>
      </c>
      <c r="K67" s="10">
        <v>3</v>
      </c>
      <c r="L67">
        <f t="shared" si="0"/>
        <v>2500</v>
      </c>
      <c r="M67" s="13" t="s">
        <v>158</v>
      </c>
      <c r="N67" s="14"/>
      <c r="O67" s="14"/>
      <c r="P67" s="14"/>
    </row>
    <row r="68" spans="1:16" x14ac:dyDescent="0.3">
      <c r="A68" s="10">
        <v>1014</v>
      </c>
      <c r="B68" s="11" t="s">
        <v>173</v>
      </c>
      <c r="C68" s="10">
        <v>33</v>
      </c>
      <c r="D68" s="11" t="s">
        <v>141</v>
      </c>
      <c r="E68" s="11" t="s">
        <v>137</v>
      </c>
      <c r="F68" s="11" t="s">
        <v>174</v>
      </c>
      <c r="G68" s="10">
        <v>50000</v>
      </c>
      <c r="H68" s="10">
        <v>11</v>
      </c>
      <c r="I68" s="11" t="s">
        <v>150</v>
      </c>
      <c r="J68" s="12">
        <v>42296</v>
      </c>
      <c r="K68" s="10">
        <v>5</v>
      </c>
      <c r="L68">
        <f t="shared" si="0"/>
        <v>11000</v>
      </c>
      <c r="M68" s="13" t="s">
        <v>161</v>
      </c>
      <c r="N68" s="14"/>
      <c r="O68" s="14"/>
      <c r="P68" s="14"/>
    </row>
    <row r="69" spans="1:16" x14ac:dyDescent="0.3">
      <c r="A69" s="10">
        <v>1015</v>
      </c>
      <c r="B69" s="11" t="s">
        <v>175</v>
      </c>
      <c r="C69" s="10">
        <v>30</v>
      </c>
      <c r="D69" s="11" t="s">
        <v>136</v>
      </c>
      <c r="E69" s="11" t="s">
        <v>152</v>
      </c>
      <c r="F69" s="11" t="s">
        <v>164</v>
      </c>
      <c r="G69" s="10">
        <v>110000</v>
      </c>
      <c r="H69" s="10">
        <v>4</v>
      </c>
      <c r="I69" s="11" t="s">
        <v>176</v>
      </c>
      <c r="J69" s="12">
        <v>44900</v>
      </c>
      <c r="K69" s="10">
        <v>3</v>
      </c>
      <c r="L69">
        <f t="shared" si="0"/>
        <v>2350</v>
      </c>
      <c r="M69" s="15" t="s">
        <v>163</v>
      </c>
      <c r="N69" s="14"/>
      <c r="O69" s="14"/>
      <c r="P69" s="14"/>
    </row>
    <row r="70" spans="1:16" x14ac:dyDescent="0.3">
      <c r="A70" s="10">
        <v>1016</v>
      </c>
      <c r="B70" s="11" t="s">
        <v>177</v>
      </c>
      <c r="C70" s="10">
        <v>26</v>
      </c>
      <c r="D70" s="11" t="s">
        <v>141</v>
      </c>
      <c r="E70" s="11" t="s">
        <v>142</v>
      </c>
      <c r="F70" s="11" t="s">
        <v>178</v>
      </c>
      <c r="G70" s="10">
        <v>47000</v>
      </c>
      <c r="H70" s="10">
        <v>2</v>
      </c>
      <c r="I70" s="11" t="s">
        <v>139</v>
      </c>
      <c r="J70" s="12">
        <v>45363</v>
      </c>
      <c r="K70" s="10">
        <v>4</v>
      </c>
      <c r="L70">
        <f t="shared" si="0"/>
        <v>2300</v>
      </c>
      <c r="M70" s="13" t="s">
        <v>165</v>
      </c>
      <c r="N70" s="14"/>
      <c r="O70" s="14"/>
      <c r="P70" s="14"/>
    </row>
    <row r="71" spans="1:16" x14ac:dyDescent="0.3">
      <c r="A71" s="10">
        <v>1017</v>
      </c>
      <c r="B71" s="11" t="s">
        <v>179</v>
      </c>
      <c r="C71" s="10">
        <v>40</v>
      </c>
      <c r="D71" s="11" t="s">
        <v>136</v>
      </c>
      <c r="E71" s="11" t="s">
        <v>137</v>
      </c>
      <c r="F71" s="11" t="s">
        <v>180</v>
      </c>
      <c r="G71" s="10">
        <v>46000</v>
      </c>
      <c r="H71" s="10">
        <v>15</v>
      </c>
      <c r="I71" s="11" t="s">
        <v>160</v>
      </c>
      <c r="J71" s="12">
        <v>40595</v>
      </c>
      <c r="K71" s="10">
        <v>5</v>
      </c>
      <c r="L71">
        <f t="shared" si="0"/>
        <v>12500</v>
      </c>
    </row>
    <row r="72" spans="1:16" x14ac:dyDescent="0.3">
      <c r="A72" s="10">
        <v>1018</v>
      </c>
      <c r="B72" s="11" t="s">
        <v>181</v>
      </c>
      <c r="C72" s="10">
        <v>31</v>
      </c>
      <c r="D72" s="11" t="s">
        <v>141</v>
      </c>
      <c r="E72" s="11" t="s">
        <v>156</v>
      </c>
      <c r="F72" s="11" t="s">
        <v>182</v>
      </c>
      <c r="G72" s="10">
        <v>125000</v>
      </c>
      <c r="H72" s="10">
        <v>8</v>
      </c>
      <c r="I72" s="11" t="s">
        <v>144</v>
      </c>
      <c r="J72" s="12">
        <v>43353</v>
      </c>
      <c r="K72" s="10">
        <v>4</v>
      </c>
      <c r="L72">
        <f t="shared" si="0"/>
        <v>9200</v>
      </c>
    </row>
    <row r="73" spans="1:16" ht="16.8" x14ac:dyDescent="0.4">
      <c r="A73" s="10">
        <v>1019</v>
      </c>
      <c r="B73" s="11" t="s">
        <v>183</v>
      </c>
      <c r="C73" s="10">
        <v>28</v>
      </c>
      <c r="D73" s="11" t="s">
        <v>136</v>
      </c>
      <c r="E73" s="11" t="s">
        <v>146</v>
      </c>
      <c r="F73" s="11" t="s">
        <v>147</v>
      </c>
      <c r="G73" s="10">
        <v>92000</v>
      </c>
      <c r="H73" s="10">
        <v>4</v>
      </c>
      <c r="I73" s="11" t="s">
        <v>168</v>
      </c>
      <c r="J73" s="12">
        <v>44728</v>
      </c>
      <c r="K73" s="10">
        <v>3</v>
      </c>
      <c r="L73">
        <f t="shared" si="0"/>
        <v>5500</v>
      </c>
      <c r="M73" s="3" t="s">
        <v>234</v>
      </c>
    </row>
    <row r="74" spans="1:16" ht="16.8" x14ac:dyDescent="0.4">
      <c r="A74" s="10">
        <v>1020</v>
      </c>
      <c r="B74" s="11" t="s">
        <v>184</v>
      </c>
      <c r="C74" s="10">
        <v>29</v>
      </c>
      <c r="D74" s="11" t="s">
        <v>141</v>
      </c>
      <c r="E74" s="11" t="s">
        <v>152</v>
      </c>
      <c r="F74" s="11" t="s">
        <v>164</v>
      </c>
      <c r="G74" s="10">
        <v>55000</v>
      </c>
      <c r="H74" s="10">
        <v>3</v>
      </c>
      <c r="I74" s="11" t="s">
        <v>185</v>
      </c>
      <c r="J74" s="12">
        <v>45041</v>
      </c>
      <c r="K74" s="10">
        <v>4</v>
      </c>
      <c r="L74">
        <f t="shared" si="0"/>
        <v>2450</v>
      </c>
      <c r="M74" s="3">
        <f>COUNTIF(E54:E83,"IT")</f>
        <v>9</v>
      </c>
    </row>
    <row r="75" spans="1:16" ht="16.8" x14ac:dyDescent="0.4">
      <c r="A75" s="10">
        <v>1021</v>
      </c>
      <c r="B75" s="11" t="s">
        <v>186</v>
      </c>
      <c r="C75" s="10">
        <v>36</v>
      </c>
      <c r="D75" s="11" t="s">
        <v>136</v>
      </c>
      <c r="E75" s="11" t="s">
        <v>137</v>
      </c>
      <c r="F75" s="11" t="s">
        <v>187</v>
      </c>
      <c r="G75" s="10">
        <v>49000</v>
      </c>
      <c r="H75" s="10">
        <v>13</v>
      </c>
      <c r="I75" s="11" t="s">
        <v>154</v>
      </c>
      <c r="J75" s="12">
        <v>41495</v>
      </c>
      <c r="K75" s="10">
        <v>5</v>
      </c>
      <c r="L75">
        <f t="shared" si="0"/>
        <v>13500</v>
      </c>
      <c r="M75" s="3" t="s">
        <v>201</v>
      </c>
    </row>
    <row r="76" spans="1:16" ht="16.8" x14ac:dyDescent="0.4">
      <c r="A76" s="10">
        <v>1022</v>
      </c>
      <c r="B76" s="11" t="s">
        <v>188</v>
      </c>
      <c r="C76" s="10">
        <v>27</v>
      </c>
      <c r="D76" s="11" t="s">
        <v>141</v>
      </c>
      <c r="E76" s="11" t="s">
        <v>142</v>
      </c>
      <c r="F76" s="11" t="s">
        <v>166</v>
      </c>
      <c r="G76" s="10">
        <v>135000</v>
      </c>
      <c r="H76" s="10">
        <v>3</v>
      </c>
      <c r="I76" s="11" t="s">
        <v>189</v>
      </c>
      <c r="J76" s="12">
        <v>44971</v>
      </c>
      <c r="K76" s="10">
        <v>3</v>
      </c>
      <c r="L76">
        <f t="shared" si="0"/>
        <v>5400</v>
      </c>
      <c r="M76" s="3">
        <f>SUMIF(E54:E83,"HR",G55:G84)</f>
        <v>243000</v>
      </c>
    </row>
    <row r="77" spans="1:16" ht="16.8" x14ac:dyDescent="0.4">
      <c r="A77" s="10">
        <v>1023</v>
      </c>
      <c r="B77" s="11" t="s">
        <v>190</v>
      </c>
      <c r="C77" s="10">
        <v>32</v>
      </c>
      <c r="D77" s="11" t="s">
        <v>136</v>
      </c>
      <c r="E77" s="11" t="s">
        <v>152</v>
      </c>
      <c r="F77" s="11" t="s">
        <v>153</v>
      </c>
      <c r="G77" s="10">
        <v>54000</v>
      </c>
      <c r="H77" s="10">
        <v>9</v>
      </c>
      <c r="I77" s="11" t="s">
        <v>160</v>
      </c>
      <c r="J77" s="12">
        <v>42877</v>
      </c>
      <c r="K77" s="10">
        <v>4</v>
      </c>
      <c r="L77">
        <f t="shared" si="0"/>
        <v>8800</v>
      </c>
      <c r="M77" s="3" t="s">
        <v>237</v>
      </c>
    </row>
    <row r="78" spans="1:16" ht="16.8" x14ac:dyDescent="0.4">
      <c r="A78" s="10">
        <v>1024</v>
      </c>
      <c r="B78" s="11" t="s">
        <v>191</v>
      </c>
      <c r="C78" s="10">
        <v>30</v>
      </c>
      <c r="D78" s="11" t="s">
        <v>141</v>
      </c>
      <c r="E78" s="11" t="s">
        <v>146</v>
      </c>
      <c r="F78" s="11" t="s">
        <v>162</v>
      </c>
      <c r="G78" s="10">
        <v>88000</v>
      </c>
      <c r="H78" s="10">
        <v>5</v>
      </c>
      <c r="I78" s="11" t="s">
        <v>192</v>
      </c>
      <c r="J78" s="12">
        <v>44503</v>
      </c>
      <c r="K78" s="10">
        <v>4</v>
      </c>
      <c r="L78">
        <f t="shared" si="0"/>
        <v>6500</v>
      </c>
      <c r="M78" s="3" t="s">
        <v>239</v>
      </c>
    </row>
    <row r="79" spans="1:16" x14ac:dyDescent="0.3">
      <c r="A79" s="10">
        <v>1025</v>
      </c>
      <c r="B79" s="11" t="s">
        <v>193</v>
      </c>
      <c r="C79" s="10">
        <v>42</v>
      </c>
      <c r="D79" s="11" t="s">
        <v>136</v>
      </c>
      <c r="E79" s="11" t="s">
        <v>137</v>
      </c>
      <c r="F79" s="11" t="s">
        <v>194</v>
      </c>
      <c r="G79" s="10">
        <v>65000</v>
      </c>
      <c r="H79" s="10">
        <v>18</v>
      </c>
      <c r="I79" s="11" t="s">
        <v>139</v>
      </c>
      <c r="J79" s="12">
        <v>39462</v>
      </c>
      <c r="K79" s="10">
        <v>5</v>
      </c>
      <c r="L79">
        <f t="shared" si="0"/>
        <v>14500</v>
      </c>
    </row>
    <row r="80" spans="1:16" x14ac:dyDescent="0.3">
      <c r="A80" s="10">
        <v>1026</v>
      </c>
      <c r="B80" s="11" t="s">
        <v>195</v>
      </c>
      <c r="C80" s="10">
        <v>25</v>
      </c>
      <c r="D80" s="11" t="s">
        <v>141</v>
      </c>
      <c r="E80" s="11" t="s">
        <v>156</v>
      </c>
      <c r="F80" s="11" t="s">
        <v>157</v>
      </c>
      <c r="G80" s="10">
        <v>145000</v>
      </c>
      <c r="H80" s="10">
        <v>1</v>
      </c>
      <c r="I80" s="11" t="s">
        <v>172</v>
      </c>
      <c r="J80" s="12">
        <v>45667</v>
      </c>
      <c r="K80" s="10">
        <v>3</v>
      </c>
      <c r="L80">
        <f t="shared" si="0"/>
        <v>2200</v>
      </c>
    </row>
    <row r="81" spans="1:14" x14ac:dyDescent="0.3">
      <c r="A81" s="10">
        <v>1027</v>
      </c>
      <c r="B81" s="11" t="s">
        <v>196</v>
      </c>
      <c r="C81" s="10">
        <v>34</v>
      </c>
      <c r="D81" s="11" t="s">
        <v>136</v>
      </c>
      <c r="E81" s="11" t="s">
        <v>146</v>
      </c>
      <c r="F81" s="11" t="s">
        <v>197</v>
      </c>
      <c r="G81" s="10">
        <v>44000</v>
      </c>
      <c r="H81" s="10">
        <v>8</v>
      </c>
      <c r="I81" s="11" t="s">
        <v>139</v>
      </c>
      <c r="J81" s="12">
        <v>43446</v>
      </c>
      <c r="K81" s="10">
        <v>4</v>
      </c>
      <c r="L81">
        <f t="shared" si="0"/>
        <v>7800</v>
      </c>
    </row>
    <row r="82" spans="1:14" x14ac:dyDescent="0.3">
      <c r="A82" s="10">
        <v>1028</v>
      </c>
      <c r="B82" s="11" t="s">
        <v>198</v>
      </c>
      <c r="C82" s="10">
        <v>28</v>
      </c>
      <c r="D82" s="11" t="s">
        <v>141</v>
      </c>
      <c r="E82" s="11" t="s">
        <v>137</v>
      </c>
      <c r="F82" s="11" t="s">
        <v>149</v>
      </c>
      <c r="G82" s="10">
        <v>78000</v>
      </c>
      <c r="H82" s="10">
        <v>4</v>
      </c>
      <c r="I82" s="11" t="s">
        <v>144</v>
      </c>
      <c r="J82" s="12">
        <v>44699</v>
      </c>
      <c r="K82" s="10">
        <v>4</v>
      </c>
      <c r="L82">
        <f t="shared" si="0"/>
        <v>6900</v>
      </c>
    </row>
    <row r="83" spans="1:14" x14ac:dyDescent="0.3">
      <c r="A83" s="10">
        <v>1029</v>
      </c>
      <c r="B83" s="11" t="s">
        <v>199</v>
      </c>
      <c r="C83" s="10">
        <v>37</v>
      </c>
      <c r="D83" s="11" t="s">
        <v>136</v>
      </c>
      <c r="E83" s="11" t="s">
        <v>152</v>
      </c>
      <c r="F83" s="11" t="s">
        <v>153</v>
      </c>
      <c r="G83" s="10">
        <v>69000</v>
      </c>
      <c r="H83" s="10">
        <v>11</v>
      </c>
      <c r="I83" s="11" t="s">
        <v>168</v>
      </c>
      <c r="J83" s="12">
        <v>42185</v>
      </c>
      <c r="K83" s="11"/>
      <c r="L83">
        <f t="shared" si="0"/>
        <v>9500</v>
      </c>
    </row>
    <row r="84" spans="1:14" x14ac:dyDescent="0.3">
      <c r="G84" s="10">
        <v>95000</v>
      </c>
      <c r="M84" s="7" t="s">
        <v>226</v>
      </c>
      <c r="N84" s="16" t="s">
        <v>227</v>
      </c>
    </row>
    <row r="85" spans="1:14" ht="40.200000000000003" x14ac:dyDescent="0.3">
      <c r="M85" s="7" t="s">
        <v>228</v>
      </c>
      <c r="N85" s="7" t="s">
        <v>206</v>
      </c>
    </row>
    <row r="86" spans="1:14" ht="27" x14ac:dyDescent="0.3">
      <c r="M86" s="7" t="s">
        <v>229</v>
      </c>
      <c r="N86" s="7" t="s">
        <v>209</v>
      </c>
    </row>
    <row r="87" spans="1:14" x14ac:dyDescent="0.3">
      <c r="M87" s="7" t="s">
        <v>230</v>
      </c>
      <c r="N87" s="7" t="s">
        <v>205</v>
      </c>
    </row>
    <row r="88" spans="1:14" x14ac:dyDescent="0.3">
      <c r="M88" s="7" t="s">
        <v>231</v>
      </c>
      <c r="N88" s="7" t="s">
        <v>208</v>
      </c>
    </row>
    <row r="89" spans="1:14" ht="27" x14ac:dyDescent="0.3">
      <c r="M89" s="7" t="s">
        <v>232</v>
      </c>
      <c r="N89" s="7" t="s">
        <v>210</v>
      </c>
    </row>
    <row r="90" spans="1:14" x14ac:dyDescent="0.3">
      <c r="M90" s="7" t="s">
        <v>233</v>
      </c>
      <c r="N90" s="7" t="s">
        <v>204</v>
      </c>
    </row>
    <row r="91" spans="1:14" x14ac:dyDescent="0.3">
      <c r="M91" s="7" t="s">
        <v>231</v>
      </c>
      <c r="N91" s="7" t="s">
        <v>211</v>
      </c>
    </row>
    <row r="92" spans="1:14" ht="40.200000000000003" x14ac:dyDescent="0.3">
      <c r="M92" s="7" t="s">
        <v>228</v>
      </c>
      <c r="N92" s="7" t="s">
        <v>212</v>
      </c>
    </row>
    <row r="93" spans="1:14" x14ac:dyDescent="0.3">
      <c r="M93" s="7" t="s">
        <v>230</v>
      </c>
      <c r="N93" s="7" t="s">
        <v>207</v>
      </c>
    </row>
    <row r="94" spans="1:14" ht="27" x14ac:dyDescent="0.3">
      <c r="M94" s="7" t="s">
        <v>229</v>
      </c>
      <c r="N94" s="7" t="s">
        <v>203</v>
      </c>
    </row>
    <row r="96" spans="1:14" x14ac:dyDescent="0.3">
      <c r="A96" s="7"/>
      <c r="B96" s="16"/>
    </row>
    <row r="97" spans="1:11" x14ac:dyDescent="0.3">
      <c r="A97" s="7" t="s">
        <v>202</v>
      </c>
      <c r="B97" s="7" t="s">
        <v>203</v>
      </c>
      <c r="C97" s="7" t="s">
        <v>204</v>
      </c>
      <c r="D97" s="7" t="s">
        <v>205</v>
      </c>
      <c r="E97" s="7" t="s">
        <v>206</v>
      </c>
      <c r="F97" s="7" t="s">
        <v>207</v>
      </c>
      <c r="G97" s="7" t="s">
        <v>208</v>
      </c>
      <c r="H97" s="7" t="s">
        <v>209</v>
      </c>
      <c r="I97" s="7" t="s">
        <v>210</v>
      </c>
      <c r="J97" s="7" t="s">
        <v>211</v>
      </c>
      <c r="K97" s="7" t="s">
        <v>212</v>
      </c>
    </row>
    <row r="98" spans="1:11" ht="27" x14ac:dyDescent="0.3">
      <c r="A98" s="7" t="s">
        <v>213</v>
      </c>
      <c r="B98" s="7" t="s">
        <v>214</v>
      </c>
      <c r="C98" s="7" t="s">
        <v>215</v>
      </c>
      <c r="D98" s="7" t="s">
        <v>216</v>
      </c>
      <c r="E98" s="7" t="s">
        <v>217</v>
      </c>
      <c r="F98" s="7" t="s">
        <v>218</v>
      </c>
      <c r="G98" s="7" t="s">
        <v>219</v>
      </c>
      <c r="H98" s="7" t="s">
        <v>220</v>
      </c>
      <c r="I98" s="7" t="s">
        <v>221</v>
      </c>
      <c r="J98" s="7" t="s">
        <v>222</v>
      </c>
      <c r="K98" s="7" t="s">
        <v>223</v>
      </c>
    </row>
    <row r="99" spans="1:11" x14ac:dyDescent="0.3">
      <c r="A99" s="7" t="s">
        <v>128</v>
      </c>
      <c r="B99" s="7" t="s">
        <v>137</v>
      </c>
      <c r="C99" s="7" t="s">
        <v>142</v>
      </c>
      <c r="D99" s="7" t="s">
        <v>152</v>
      </c>
      <c r="E99" s="7" t="s">
        <v>146</v>
      </c>
      <c r="F99" s="7" t="s">
        <v>137</v>
      </c>
      <c r="G99" s="7" t="s">
        <v>152</v>
      </c>
      <c r="H99" s="7" t="s">
        <v>142</v>
      </c>
      <c r="I99" s="7" t="s">
        <v>146</v>
      </c>
      <c r="J99" s="7" t="s">
        <v>137</v>
      </c>
      <c r="K99" s="7" t="s">
        <v>156</v>
      </c>
    </row>
    <row r="100" spans="1:11" x14ac:dyDescent="0.3">
      <c r="A100" s="7" t="s">
        <v>132</v>
      </c>
      <c r="B100" s="7" t="s">
        <v>139</v>
      </c>
      <c r="C100" s="7" t="s">
        <v>144</v>
      </c>
      <c r="D100" s="7" t="s">
        <v>154</v>
      </c>
      <c r="E100" s="7" t="s">
        <v>139</v>
      </c>
      <c r="F100" s="7" t="s">
        <v>150</v>
      </c>
      <c r="G100" s="7" t="s">
        <v>154</v>
      </c>
      <c r="H100" s="7" t="s">
        <v>176</v>
      </c>
      <c r="I100" s="7" t="s">
        <v>144</v>
      </c>
      <c r="J100" s="7" t="s">
        <v>139</v>
      </c>
      <c r="K100" s="7" t="s">
        <v>224</v>
      </c>
    </row>
    <row r="101" spans="1:11" x14ac:dyDescent="0.3">
      <c r="A101" s="7" t="s">
        <v>130</v>
      </c>
      <c r="B101" s="6">
        <v>45000</v>
      </c>
      <c r="C101" s="6">
        <v>52000</v>
      </c>
      <c r="D101" s="6">
        <v>48000</v>
      </c>
      <c r="E101" s="6">
        <v>60000</v>
      </c>
      <c r="F101" s="6">
        <v>55000</v>
      </c>
      <c r="G101" s="6">
        <v>47000</v>
      </c>
      <c r="H101" s="6">
        <v>50000</v>
      </c>
      <c r="I101" s="6">
        <v>58000</v>
      </c>
      <c r="J101" s="6">
        <v>62000</v>
      </c>
      <c r="K101" s="6">
        <v>51000</v>
      </c>
    </row>
    <row r="102" spans="1:11" x14ac:dyDescent="0.3">
      <c r="A102" s="7" t="s">
        <v>225</v>
      </c>
      <c r="B102" s="6">
        <v>2</v>
      </c>
      <c r="C102" s="6">
        <v>4</v>
      </c>
      <c r="D102" s="6">
        <v>3</v>
      </c>
      <c r="E102" s="6">
        <v>6</v>
      </c>
      <c r="F102" s="6">
        <v>5</v>
      </c>
      <c r="G102" s="6">
        <v>3</v>
      </c>
      <c r="H102" s="6">
        <v>4</v>
      </c>
      <c r="I102" s="6">
        <v>7</v>
      </c>
      <c r="J102" s="6">
        <v>8</v>
      </c>
      <c r="K102" s="6">
        <v>4</v>
      </c>
    </row>
    <row r="103" spans="1:11" x14ac:dyDescent="0.3">
      <c r="A103" s="7" t="s">
        <v>126</v>
      </c>
      <c r="B103" s="6">
        <v>25</v>
      </c>
      <c r="C103" s="6">
        <v>29</v>
      </c>
      <c r="D103" s="6">
        <v>27</v>
      </c>
      <c r="E103" s="6">
        <v>32</v>
      </c>
      <c r="F103" s="6">
        <v>30</v>
      </c>
      <c r="G103" s="6">
        <v>26</v>
      </c>
      <c r="H103" s="6">
        <v>28</v>
      </c>
      <c r="I103" s="6">
        <v>35</v>
      </c>
      <c r="J103" s="6">
        <v>36</v>
      </c>
      <c r="K103" s="6">
        <v>29</v>
      </c>
    </row>
    <row r="107" spans="1:11" ht="15.6" x14ac:dyDescent="0.3">
      <c r="C107" s="56" t="s">
        <v>235</v>
      </c>
    </row>
    <row r="108" spans="1:11" x14ac:dyDescent="0.3">
      <c r="C108" t="s">
        <v>236</v>
      </c>
    </row>
    <row r="109" spans="1:11" x14ac:dyDescent="0.3">
      <c r="C109">
        <f>HLOOKUP(B97,A97:K103,5,FALSE)</f>
        <v>45000</v>
      </c>
    </row>
    <row r="112" spans="1:11" x14ac:dyDescent="0.3">
      <c r="F112" s="7"/>
      <c r="G112" s="7"/>
    </row>
    <row r="113" spans="6:8" x14ac:dyDescent="0.3">
      <c r="F113" s="11" t="s">
        <v>226</v>
      </c>
      <c r="G113" s="16" t="s">
        <v>227</v>
      </c>
      <c r="H113" s="7"/>
    </row>
    <row r="114" spans="6:8" x14ac:dyDescent="0.3">
      <c r="F114" s="11" t="s">
        <v>228</v>
      </c>
      <c r="G114" s="11" t="s">
        <v>206</v>
      </c>
      <c r="H114" s="7"/>
    </row>
    <row r="115" spans="6:8" x14ac:dyDescent="0.3">
      <c r="F115" s="11" t="s">
        <v>229</v>
      </c>
      <c r="G115" s="11" t="s">
        <v>209</v>
      </c>
      <c r="H115" s="7" t="str">
        <f>HLOOKUP(G114,A97:K103,2,FALSE)</f>
        <v>Priya</v>
      </c>
    </row>
    <row r="116" spans="6:8" x14ac:dyDescent="0.3">
      <c r="F116" s="11" t="s">
        <v>230</v>
      </c>
      <c r="G116" s="11" t="s">
        <v>205</v>
      </c>
      <c r="H116" s="7" t="str">
        <f>HLOOKUP(G115,B97:K103,3,FALSE)</f>
        <v>HR</v>
      </c>
    </row>
    <row r="117" spans="6:8" x14ac:dyDescent="0.3">
      <c r="F117" s="11" t="s">
        <v>231</v>
      </c>
      <c r="G117" s="11" t="s">
        <v>208</v>
      </c>
      <c r="H117" s="7" t="str">
        <f>HLOOKUP(G116,A97:K103,4,FALSE)</f>
        <v>Pune</v>
      </c>
    </row>
    <row r="118" spans="6:8" x14ac:dyDescent="0.3">
      <c r="F118" s="11" t="s">
        <v>232</v>
      </c>
      <c r="G118" s="11" t="s">
        <v>210</v>
      </c>
      <c r="H118" s="7">
        <f>HLOOKUP(G117,A97:K103,7,FALSE)</f>
        <v>26</v>
      </c>
    </row>
    <row r="119" spans="6:8" x14ac:dyDescent="0.3">
      <c r="F119" s="11" t="s">
        <v>233</v>
      </c>
      <c r="G119" s="11" t="s">
        <v>204</v>
      </c>
      <c r="H119" s="7">
        <f>HLOOKUP(G118,A97:K103,6,FALSE)</f>
        <v>7</v>
      </c>
    </row>
    <row r="120" spans="6:8" x14ac:dyDescent="0.3">
      <c r="F120" s="11" t="s">
        <v>231</v>
      </c>
      <c r="G120" s="11" t="s">
        <v>211</v>
      </c>
      <c r="H120" s="7">
        <f>HLOOKUP(G119,A97:K103,7,FALSE)</f>
        <v>29</v>
      </c>
    </row>
    <row r="121" spans="6:8" x14ac:dyDescent="0.3">
      <c r="F121" s="11" t="s">
        <v>228</v>
      </c>
      <c r="G121" s="11" t="s">
        <v>212</v>
      </c>
      <c r="H121" s="7">
        <f>HLOOKUP(G120,A97:K103,5,FALSE)</f>
        <v>62000</v>
      </c>
    </row>
    <row r="122" spans="6:8" x14ac:dyDescent="0.3">
      <c r="F122" s="11" t="s">
        <v>230</v>
      </c>
      <c r="G122" s="11" t="s">
        <v>207</v>
      </c>
      <c r="H122" s="7" t="str">
        <f>HLOOKUP(G121,A97:K103,2,FALSE)</f>
        <v>Pooja</v>
      </c>
    </row>
    <row r="123" spans="6:8" x14ac:dyDescent="0.3">
      <c r="F123" s="11" t="s">
        <v>229</v>
      </c>
      <c r="G123" s="11" t="s">
        <v>203</v>
      </c>
      <c r="H123" s="7" t="str">
        <f>HLOOKUP(G122,A97:K103,4,FALSE)</f>
        <v>Bangalore</v>
      </c>
    </row>
    <row r="124" spans="6:8" x14ac:dyDescent="0.3">
      <c r="H124" s="7" t="str">
        <f>HLOOKUP(G123,A97:K103,3,FALSE)</f>
        <v>IT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CD90-1D80-4791-9D4B-9E5EC2D39211}">
  <dimension ref="A1:O20"/>
  <sheetViews>
    <sheetView workbookViewId="0">
      <selection activeCell="O2" sqref="O2"/>
    </sheetView>
  </sheetViews>
  <sheetFormatPr defaultRowHeight="14.4" x14ac:dyDescent="0.3"/>
  <cols>
    <col min="15" max="15" width="27.109375" customWidth="1"/>
  </cols>
  <sheetData>
    <row r="1" spans="1:15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8.8" x14ac:dyDescent="0.3">
      <c r="A2" s="7"/>
      <c r="B2" s="19" t="s">
        <v>2</v>
      </c>
      <c r="C2" s="19" t="s">
        <v>126</v>
      </c>
      <c r="D2" s="19" t="s">
        <v>127</v>
      </c>
      <c r="E2" s="19" t="s">
        <v>251</v>
      </c>
      <c r="F2" s="19" t="s">
        <v>130</v>
      </c>
      <c r="G2" s="19" t="s">
        <v>252</v>
      </c>
      <c r="H2" s="7"/>
      <c r="I2" s="19" t="s">
        <v>253</v>
      </c>
      <c r="J2" s="19" t="s">
        <v>251</v>
      </c>
      <c r="K2" s="19" t="s">
        <v>2</v>
      </c>
      <c r="L2" s="19" t="s">
        <v>127</v>
      </c>
      <c r="M2" s="19" t="s">
        <v>130</v>
      </c>
      <c r="N2" s="19" t="s">
        <v>252</v>
      </c>
      <c r="O2" s="19" t="s">
        <v>126</v>
      </c>
    </row>
    <row r="3" spans="1:15" x14ac:dyDescent="0.3">
      <c r="A3" s="7"/>
      <c r="B3" s="20" t="s">
        <v>254</v>
      </c>
      <c r="C3" s="21">
        <v>30</v>
      </c>
      <c r="D3" s="20" t="s">
        <v>255</v>
      </c>
      <c r="E3" s="20" t="s">
        <v>256</v>
      </c>
      <c r="F3" s="21">
        <v>45000</v>
      </c>
      <c r="G3" s="20" t="s">
        <v>137</v>
      </c>
      <c r="H3" s="7"/>
      <c r="I3" s="7"/>
      <c r="J3" s="20" t="s">
        <v>257</v>
      </c>
      <c r="K3" s="7" t="str">
        <f>INDEX(B2:B20,MATCH(J3,E2:E20,FALSE))</f>
        <v>Kanchan</v>
      </c>
      <c r="L3" s="7" t="str">
        <f>INDEX(D2:D20,MATCH(J3,E2:E20,FALSE))</f>
        <v>F</v>
      </c>
      <c r="M3" s="7">
        <f>INDEX(F2:F20,MATCH(J3,E2:E20,FALSE))</f>
        <v>28000</v>
      </c>
      <c r="N3" s="7" t="str">
        <f>INDEX(G2:G20,MATCH(J3,E2:E20,FALSE))</f>
        <v>HR</v>
      </c>
      <c r="O3" s="22">
        <f>INDEX($C$2:$C$20,MATCH(J3,$E$2:$E$20,FALSE))</f>
        <v>27</v>
      </c>
    </row>
    <row r="4" spans="1:15" x14ac:dyDescent="0.3">
      <c r="A4" s="7"/>
      <c r="B4" s="20" t="s">
        <v>258</v>
      </c>
      <c r="C4" s="21">
        <v>28</v>
      </c>
      <c r="D4" s="20" t="s">
        <v>255</v>
      </c>
      <c r="E4" s="20" t="s">
        <v>259</v>
      </c>
      <c r="F4" s="21">
        <v>38000</v>
      </c>
      <c r="G4" s="20" t="s">
        <v>152</v>
      </c>
      <c r="H4" s="7"/>
      <c r="I4" s="7"/>
      <c r="J4" s="20" t="s">
        <v>260</v>
      </c>
      <c r="K4" s="7" t="str">
        <f>INDEX(B2:B20,MATCH(J4,E2:E20,FALSE))</f>
        <v>Hitesh</v>
      </c>
      <c r="L4" s="7" t="str">
        <f>INDEX(D2:D20,MATCH(J4,E2:E20,FALSE))</f>
        <v>M</v>
      </c>
      <c r="M4" s="7">
        <f>INDEX(F2:F20,MATCH(J4,E2:E20,FALSE))</f>
        <v>41500</v>
      </c>
      <c r="N4" s="7" t="str">
        <f>INDEX(G2:G20,MATCH(J4,E2:E20,FALSE))</f>
        <v>Logistics</v>
      </c>
      <c r="O4" s="22">
        <f t="shared" ref="O4:O5" si="0">INDEX($C$2:$C$20,MATCH(J4,$E$2:$E$20,FALSE))</f>
        <v>25</v>
      </c>
    </row>
    <row r="5" spans="1:15" x14ac:dyDescent="0.3">
      <c r="A5" s="7"/>
      <c r="B5" s="20" t="s">
        <v>261</v>
      </c>
      <c r="C5" s="21">
        <v>27</v>
      </c>
      <c r="D5" s="20" t="s">
        <v>255</v>
      </c>
      <c r="E5" s="20" t="s">
        <v>262</v>
      </c>
      <c r="F5" s="21">
        <v>34500</v>
      </c>
      <c r="G5" s="20" t="s">
        <v>152</v>
      </c>
      <c r="H5" s="7"/>
      <c r="I5" s="7"/>
      <c r="J5" s="20" t="s">
        <v>293</v>
      </c>
      <c r="K5" s="7" t="str">
        <f>INDEX(B2:B20,MATCH(J5,E2:E20,FALSE))</f>
        <v>Kartik</v>
      </c>
      <c r="L5" s="7" t="str">
        <f>INDEX(D2:D20,MATCH(J5,E2:E20,FALSE))</f>
        <v>M</v>
      </c>
      <c r="M5" s="7">
        <f>INDEX(F2:F20,MATCH(J5,E2:E20,FALSE))</f>
        <v>50000</v>
      </c>
      <c r="N5" s="7" t="str">
        <f>INDEX(G2:G20,MATCH(J5,E2:E20,FALSE))</f>
        <v>Sales</v>
      </c>
      <c r="O5" s="22">
        <f t="shared" si="0"/>
        <v>28</v>
      </c>
    </row>
    <row r="6" spans="1:15" x14ac:dyDescent="0.3">
      <c r="A6" s="7"/>
      <c r="B6" s="20" t="s">
        <v>263</v>
      </c>
      <c r="C6" s="21">
        <v>27</v>
      </c>
      <c r="D6" s="20" t="s">
        <v>264</v>
      </c>
      <c r="E6" s="20" t="s">
        <v>257</v>
      </c>
      <c r="F6" s="21">
        <v>28000</v>
      </c>
      <c r="G6" s="20" t="s">
        <v>142</v>
      </c>
      <c r="H6" s="7"/>
      <c r="I6" s="7"/>
      <c r="J6" s="7"/>
      <c r="K6" s="7"/>
      <c r="L6" s="7"/>
      <c r="M6" s="7"/>
      <c r="N6" s="7"/>
      <c r="O6" s="7"/>
    </row>
    <row r="7" spans="1:15" x14ac:dyDescent="0.3">
      <c r="A7" s="7"/>
      <c r="B7" s="20" t="s">
        <v>265</v>
      </c>
      <c r="C7" s="21">
        <v>28</v>
      </c>
      <c r="D7" s="20" t="s">
        <v>255</v>
      </c>
      <c r="E7" s="20" t="s">
        <v>266</v>
      </c>
      <c r="F7" s="21">
        <v>42500</v>
      </c>
      <c r="G7" s="20" t="s">
        <v>267</v>
      </c>
      <c r="H7" s="7"/>
      <c r="I7" s="7"/>
      <c r="J7" s="7"/>
      <c r="K7" s="7"/>
      <c r="L7" s="7"/>
      <c r="M7" s="7"/>
      <c r="N7" s="7"/>
      <c r="O7" s="7"/>
    </row>
    <row r="8" spans="1:15" x14ac:dyDescent="0.3">
      <c r="A8" s="7"/>
      <c r="B8" s="20" t="s">
        <v>268</v>
      </c>
      <c r="C8" s="21">
        <v>27</v>
      </c>
      <c r="D8" s="20" t="s">
        <v>255</v>
      </c>
      <c r="E8" s="20" t="s">
        <v>269</v>
      </c>
      <c r="F8" s="21">
        <v>30000</v>
      </c>
      <c r="G8" s="20" t="s">
        <v>142</v>
      </c>
      <c r="H8" s="7"/>
      <c r="I8" s="7"/>
      <c r="J8" s="7"/>
      <c r="K8" s="7"/>
      <c r="L8" s="7"/>
      <c r="M8" s="7"/>
      <c r="N8" s="7"/>
      <c r="O8" s="7"/>
    </row>
    <row r="9" spans="1:15" x14ac:dyDescent="0.3">
      <c r="A9" s="7"/>
      <c r="B9" s="20" t="s">
        <v>270</v>
      </c>
      <c r="C9" s="21">
        <v>23</v>
      </c>
      <c r="D9" s="20" t="s">
        <v>264</v>
      </c>
      <c r="E9" s="20" t="s">
        <v>271</v>
      </c>
      <c r="F9" s="21">
        <v>25000</v>
      </c>
      <c r="G9" s="20" t="s">
        <v>267</v>
      </c>
      <c r="H9" s="7"/>
      <c r="I9" s="7"/>
      <c r="J9" s="7"/>
      <c r="K9" s="7"/>
      <c r="L9" s="7"/>
      <c r="M9" s="7"/>
      <c r="N9" s="7"/>
      <c r="O9" s="7"/>
    </row>
    <row r="10" spans="1:15" x14ac:dyDescent="0.3">
      <c r="A10" s="7"/>
      <c r="B10" s="20" t="s">
        <v>272</v>
      </c>
      <c r="C10" s="21">
        <v>31</v>
      </c>
      <c r="D10" s="20" t="s">
        <v>255</v>
      </c>
      <c r="E10" s="20" t="s">
        <v>273</v>
      </c>
      <c r="F10" s="21">
        <v>34000</v>
      </c>
      <c r="G10" s="20" t="s">
        <v>137</v>
      </c>
      <c r="H10" s="7"/>
      <c r="I10" s="19" t="s">
        <v>124</v>
      </c>
      <c r="J10" s="19" t="s">
        <v>251</v>
      </c>
      <c r="K10" s="19" t="s">
        <v>2</v>
      </c>
      <c r="L10" s="19" t="s">
        <v>126</v>
      </c>
      <c r="M10" s="19" t="s">
        <v>127</v>
      </c>
      <c r="N10" s="19" t="s">
        <v>130</v>
      </c>
      <c r="O10" s="19" t="s">
        <v>252</v>
      </c>
    </row>
    <row r="11" spans="1:15" x14ac:dyDescent="0.3">
      <c r="A11" s="7"/>
      <c r="B11" s="20" t="s">
        <v>274</v>
      </c>
      <c r="C11" s="21">
        <v>32</v>
      </c>
      <c r="D11" s="20" t="s">
        <v>255</v>
      </c>
      <c r="E11" s="20" t="s">
        <v>275</v>
      </c>
      <c r="F11" s="21">
        <v>35000</v>
      </c>
      <c r="G11" s="20" t="s">
        <v>137</v>
      </c>
      <c r="H11" s="7"/>
      <c r="I11" s="7"/>
      <c r="J11" s="20" t="s">
        <v>276</v>
      </c>
      <c r="K11" s="7" t="str">
        <f>_xlfn.XLOOKUP(J11,E2:E20,B2:B20,FALSE)</f>
        <v>Jyotsana</v>
      </c>
      <c r="L11" s="7">
        <f>_xlfn.XLOOKUP(J11,E2:E20,C2:C20,FALSE)</f>
        <v>27</v>
      </c>
      <c r="M11" s="7" t="str">
        <f>_xlfn.XLOOKUP(J11,E2:E20,D2:D20,FALSE)</f>
        <v>F</v>
      </c>
      <c r="N11" s="7">
        <f>_xlfn.XLOOKUP(J11,E2:E20,F2:F20,FALSE)</f>
        <v>42500</v>
      </c>
      <c r="O11" s="22" t="str">
        <f>_xlfn.XLOOKUP(J11,$E$2:$E$20,$G$2:$G$20,FALSE)</f>
        <v>Sales</v>
      </c>
    </row>
    <row r="12" spans="1:15" x14ac:dyDescent="0.3">
      <c r="A12" s="7"/>
      <c r="B12" s="20" t="s">
        <v>277</v>
      </c>
      <c r="C12" s="21">
        <v>28</v>
      </c>
      <c r="D12" s="20" t="s">
        <v>255</v>
      </c>
      <c r="E12" s="20" t="s">
        <v>278</v>
      </c>
      <c r="F12" s="21">
        <v>47000</v>
      </c>
      <c r="G12" s="20" t="s">
        <v>152</v>
      </c>
      <c r="H12" s="7"/>
      <c r="I12" s="7"/>
      <c r="J12" s="20" t="s">
        <v>271</v>
      </c>
      <c r="K12" s="7" t="str">
        <f>_xlfn.XLOOKUP(J12,E2:E20,B2:B20,FALSE)</f>
        <v>Niharika</v>
      </c>
      <c r="L12" s="7">
        <f>_xlfn.XLOOKUP(J12,E2:E20,C2:C20,FALSE)</f>
        <v>23</v>
      </c>
      <c r="M12" s="7" t="str">
        <f>_xlfn.XLOOKUP(J12,E2:E20,D2:D20,FALSE)</f>
        <v>F</v>
      </c>
      <c r="N12" s="7">
        <f>_xlfn.XLOOKUP(J12,E2:E20,F2:F20,FALSE)</f>
        <v>25000</v>
      </c>
      <c r="O12" s="22" t="str">
        <f>_xlfn.XLOOKUP(J12,$E$2:$E$20,$G$2:$G$20,FALSE)</f>
        <v>Admin</v>
      </c>
    </row>
    <row r="13" spans="1:15" x14ac:dyDescent="0.3">
      <c r="A13" s="7"/>
      <c r="B13" s="20" t="s">
        <v>279</v>
      </c>
      <c r="C13" s="21">
        <v>27</v>
      </c>
      <c r="D13" s="20" t="s">
        <v>255</v>
      </c>
      <c r="E13" s="20" t="s">
        <v>280</v>
      </c>
      <c r="F13" s="21">
        <v>53000</v>
      </c>
      <c r="G13" s="20" t="s">
        <v>137</v>
      </c>
      <c r="H13" s="7"/>
      <c r="I13" s="7"/>
      <c r="J13" s="7"/>
      <c r="K13" s="7"/>
      <c r="L13" s="7"/>
      <c r="M13" s="7"/>
      <c r="N13" s="7"/>
      <c r="O13" s="7"/>
    </row>
    <row r="14" spans="1:15" x14ac:dyDescent="0.3">
      <c r="A14" s="7"/>
      <c r="B14" s="20" t="s">
        <v>281</v>
      </c>
      <c r="C14" s="21">
        <v>26</v>
      </c>
      <c r="D14" s="20" t="s">
        <v>255</v>
      </c>
      <c r="E14" s="20" t="s">
        <v>282</v>
      </c>
      <c r="F14" s="21">
        <v>37500</v>
      </c>
      <c r="G14" s="20" t="s">
        <v>283</v>
      </c>
      <c r="H14" s="7"/>
      <c r="I14" s="7"/>
      <c r="J14" s="7"/>
      <c r="K14" s="7"/>
      <c r="L14" s="7"/>
      <c r="M14" s="7"/>
      <c r="N14" s="7"/>
      <c r="O14" s="7"/>
    </row>
    <row r="15" spans="1:15" x14ac:dyDescent="0.3">
      <c r="A15" s="7"/>
      <c r="B15" s="20" t="s">
        <v>284</v>
      </c>
      <c r="C15" s="21">
        <v>29</v>
      </c>
      <c r="D15" s="20" t="s">
        <v>264</v>
      </c>
      <c r="E15" s="20" t="s">
        <v>285</v>
      </c>
      <c r="F15" s="21">
        <v>40000</v>
      </c>
      <c r="G15" s="20" t="s">
        <v>283</v>
      </c>
      <c r="H15" s="7"/>
      <c r="I15" s="7"/>
      <c r="J15" s="7"/>
      <c r="K15" s="7"/>
      <c r="L15" s="7"/>
      <c r="M15" s="7"/>
      <c r="N15" s="7"/>
      <c r="O15" s="7"/>
    </row>
    <row r="16" spans="1:15" x14ac:dyDescent="0.3">
      <c r="A16" s="7"/>
      <c r="B16" s="20" t="s">
        <v>286</v>
      </c>
      <c r="C16" s="21">
        <v>27</v>
      </c>
      <c r="D16" s="20" t="s">
        <v>264</v>
      </c>
      <c r="E16" s="20" t="s">
        <v>276</v>
      </c>
      <c r="F16" s="21">
        <v>42500</v>
      </c>
      <c r="G16" s="20" t="s">
        <v>152</v>
      </c>
      <c r="H16" s="7"/>
      <c r="I16" s="7"/>
      <c r="J16" s="7"/>
      <c r="K16" s="7"/>
      <c r="L16" s="7"/>
      <c r="M16" s="7"/>
      <c r="N16" s="7"/>
      <c r="O16" s="7"/>
    </row>
    <row r="17" spans="1:15" x14ac:dyDescent="0.3">
      <c r="A17" s="7"/>
      <c r="B17" s="20" t="s">
        <v>287</v>
      </c>
      <c r="C17" s="21">
        <v>28</v>
      </c>
      <c r="D17" s="20" t="s">
        <v>255</v>
      </c>
      <c r="E17" s="20" t="s">
        <v>288</v>
      </c>
      <c r="F17" s="21">
        <v>34500</v>
      </c>
      <c r="G17" s="20" t="s">
        <v>283</v>
      </c>
      <c r="H17" s="7"/>
      <c r="I17" s="7"/>
      <c r="J17" s="7"/>
      <c r="K17" s="7"/>
      <c r="L17" s="7"/>
      <c r="M17" s="7"/>
      <c r="N17" s="7"/>
      <c r="O17" s="7"/>
    </row>
    <row r="18" spans="1:15" x14ac:dyDescent="0.3">
      <c r="A18" s="7"/>
      <c r="B18" s="20" t="s">
        <v>289</v>
      </c>
      <c r="C18" s="21">
        <v>25</v>
      </c>
      <c r="D18" s="20" t="s">
        <v>255</v>
      </c>
      <c r="E18" s="20" t="s">
        <v>260</v>
      </c>
      <c r="F18" s="21">
        <v>41500</v>
      </c>
      <c r="G18" s="20" t="s">
        <v>283</v>
      </c>
      <c r="H18" s="7"/>
      <c r="I18" s="7"/>
      <c r="J18" s="7"/>
      <c r="K18" s="7"/>
      <c r="L18" s="7"/>
      <c r="M18" s="7"/>
      <c r="N18" s="7"/>
      <c r="O18" s="7"/>
    </row>
    <row r="19" spans="1:15" x14ac:dyDescent="0.3">
      <c r="A19" s="7"/>
      <c r="B19" s="20" t="s">
        <v>290</v>
      </c>
      <c r="C19" s="21">
        <v>26</v>
      </c>
      <c r="D19" s="20" t="s">
        <v>264</v>
      </c>
      <c r="E19" s="20" t="s">
        <v>291</v>
      </c>
      <c r="F19" s="21">
        <v>52500</v>
      </c>
      <c r="G19" s="20" t="s">
        <v>137</v>
      </c>
      <c r="H19" s="7"/>
      <c r="I19" s="7"/>
      <c r="J19" s="7"/>
      <c r="K19" s="7"/>
      <c r="L19" s="7"/>
      <c r="M19" s="7"/>
      <c r="N19" s="7"/>
      <c r="O19" s="7"/>
    </row>
    <row r="20" spans="1:15" x14ac:dyDescent="0.3">
      <c r="A20" s="7"/>
      <c r="B20" s="20" t="s">
        <v>292</v>
      </c>
      <c r="C20" s="21">
        <v>28</v>
      </c>
      <c r="D20" s="20" t="s">
        <v>255</v>
      </c>
      <c r="E20" s="20" t="s">
        <v>293</v>
      </c>
      <c r="F20" s="21">
        <v>50000</v>
      </c>
      <c r="G20" s="20" t="s">
        <v>152</v>
      </c>
      <c r="H20" s="7"/>
      <c r="I20" s="7"/>
      <c r="J20" s="7"/>
      <c r="K20" s="7"/>
      <c r="L20" s="7"/>
      <c r="M20" s="7"/>
      <c r="N20" s="7"/>
      <c r="O20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E491-1316-409B-8542-39DAAE281ED0}">
  <dimension ref="A1:T149"/>
  <sheetViews>
    <sheetView topLeftCell="A22" workbookViewId="0">
      <selection activeCell="K13" sqref="K13"/>
    </sheetView>
  </sheetViews>
  <sheetFormatPr defaultColWidth="9.21875" defaultRowHeight="14.4" x14ac:dyDescent="0.3"/>
  <cols>
    <col min="1" max="1" width="21.21875" bestFit="1" customWidth="1"/>
    <col min="2" max="2" width="14.21875" bestFit="1" customWidth="1"/>
    <col min="3" max="3" width="23.6640625" bestFit="1" customWidth="1"/>
    <col min="4" max="4" width="11.33203125" bestFit="1" customWidth="1"/>
    <col min="5" max="5" width="31" bestFit="1" customWidth="1"/>
    <col min="6" max="6" width="15.109375" bestFit="1" customWidth="1"/>
    <col min="7" max="7" width="14.88671875" bestFit="1" customWidth="1"/>
    <col min="8" max="8" width="5.88671875" bestFit="1" customWidth="1"/>
    <col min="9" max="9" width="13" customWidth="1"/>
    <col min="10" max="10" width="14.109375" bestFit="1" customWidth="1"/>
    <col min="11" max="11" width="13.109375" bestFit="1" customWidth="1"/>
    <col min="12" max="12" width="11.6640625" bestFit="1" customWidth="1"/>
    <col min="13" max="13" width="11.33203125" bestFit="1" customWidth="1"/>
    <col min="14" max="14" width="11.44140625" bestFit="1" customWidth="1"/>
    <col min="15" max="15" width="10.6640625" bestFit="1" customWidth="1"/>
    <col min="18" max="18" width="12.21875" customWidth="1"/>
    <col min="19" max="19" width="15" customWidth="1"/>
    <col min="20" max="20" width="12.109375" customWidth="1"/>
  </cols>
  <sheetData>
    <row r="1" spans="1:11" x14ac:dyDescent="0.3">
      <c r="A1" s="17">
        <v>70000</v>
      </c>
      <c r="B1" s="17" t="str">
        <f>IF(A1&lt;=30000,"Basic",IF(A1&lt;=60000,"Silver","Gold"))</f>
        <v>Gold</v>
      </c>
      <c r="C1" s="17" t="s">
        <v>465</v>
      </c>
    </row>
    <row r="3" spans="1:11" x14ac:dyDescent="0.3">
      <c r="A3" s="24" t="s">
        <v>2</v>
      </c>
      <c r="B3" s="24" t="s">
        <v>127</v>
      </c>
      <c r="C3" s="24" t="s">
        <v>128</v>
      </c>
      <c r="D3" s="25" t="s">
        <v>130</v>
      </c>
      <c r="E3" s="24" t="s">
        <v>294</v>
      </c>
      <c r="F3" s="24" t="s">
        <v>295</v>
      </c>
      <c r="I3" s="61" t="s">
        <v>466</v>
      </c>
      <c r="J3" s="61"/>
    </row>
    <row r="4" spans="1:11" x14ac:dyDescent="0.3">
      <c r="A4" s="26" t="s">
        <v>296</v>
      </c>
      <c r="B4" s="26" t="s">
        <v>136</v>
      </c>
      <c r="C4" s="26" t="s">
        <v>297</v>
      </c>
      <c r="D4" s="27" t="s">
        <v>298</v>
      </c>
      <c r="E4" s="26" t="s">
        <v>299</v>
      </c>
      <c r="F4" s="28">
        <v>43894</v>
      </c>
      <c r="I4">
        <f>COUNTIF(B3:B94,"=Male")</f>
        <v>48</v>
      </c>
    </row>
    <row r="5" spans="1:11" x14ac:dyDescent="0.3">
      <c r="A5" s="26" t="s">
        <v>300</v>
      </c>
      <c r="B5" s="26" t="s">
        <v>141</v>
      </c>
      <c r="C5" s="26" t="s">
        <v>301</v>
      </c>
      <c r="D5" s="27" t="s">
        <v>302</v>
      </c>
      <c r="E5" s="26" t="s">
        <v>299</v>
      </c>
      <c r="F5" s="28">
        <v>43609</v>
      </c>
      <c r="I5" s="11" t="s">
        <v>467</v>
      </c>
    </row>
    <row r="6" spans="1:11" x14ac:dyDescent="0.3">
      <c r="A6" s="26" t="s">
        <v>303</v>
      </c>
      <c r="B6" s="26" t="s">
        <v>136</v>
      </c>
      <c r="C6" s="26" t="s">
        <v>304</v>
      </c>
      <c r="D6" s="11"/>
      <c r="E6" s="26" t="s">
        <v>299</v>
      </c>
      <c r="F6" s="28">
        <v>43588</v>
      </c>
      <c r="I6" t="str">
        <f>INDEX(C3:C94,MATCH("Ab Lehrian",A3:A94,FALSE))</f>
        <v>NULL</v>
      </c>
      <c r="J6" t="s">
        <v>468</v>
      </c>
    </row>
    <row r="7" spans="1:11" x14ac:dyDescent="0.3">
      <c r="A7" s="26" t="s">
        <v>305</v>
      </c>
      <c r="B7" s="26" t="s">
        <v>136</v>
      </c>
      <c r="C7" s="26" t="s">
        <v>306</v>
      </c>
      <c r="D7" s="27" t="s">
        <v>307</v>
      </c>
      <c r="E7" s="26" t="s">
        <v>308</v>
      </c>
      <c r="F7" s="28">
        <v>43696</v>
      </c>
      <c r="I7" t="str">
        <f>VLOOKUP("Ab Lehrian",A3:F94,3,FALSE)</f>
        <v>NULL</v>
      </c>
      <c r="J7" t="s">
        <v>469</v>
      </c>
    </row>
    <row r="8" spans="1:11" x14ac:dyDescent="0.3">
      <c r="A8" s="26" t="s">
        <v>305</v>
      </c>
      <c r="B8" s="26" t="s">
        <v>136</v>
      </c>
      <c r="C8" s="26" t="s">
        <v>306</v>
      </c>
      <c r="D8" s="27" t="s">
        <v>307</v>
      </c>
      <c r="E8" s="26" t="s">
        <v>299</v>
      </c>
      <c r="F8" s="28">
        <v>43972</v>
      </c>
    </row>
    <row r="9" spans="1:11" x14ac:dyDescent="0.3">
      <c r="A9" s="26" t="s">
        <v>309</v>
      </c>
      <c r="B9" s="26" t="s">
        <v>141</v>
      </c>
      <c r="C9" s="26" t="s">
        <v>310</v>
      </c>
      <c r="D9" s="27" t="s">
        <v>311</v>
      </c>
      <c r="E9" s="26" t="s">
        <v>299</v>
      </c>
      <c r="F9" s="28">
        <v>43673</v>
      </c>
      <c r="I9" s="11" t="s">
        <v>470</v>
      </c>
      <c r="J9" s="11"/>
    </row>
    <row r="10" spans="1:11" x14ac:dyDescent="0.3">
      <c r="A10" s="26" t="s">
        <v>312</v>
      </c>
      <c r="B10" s="26" t="s">
        <v>141</v>
      </c>
      <c r="C10" s="26" t="s">
        <v>306</v>
      </c>
      <c r="D10" s="27" t="s">
        <v>313</v>
      </c>
      <c r="E10" s="26" t="s">
        <v>314</v>
      </c>
      <c r="F10" s="28">
        <v>43968</v>
      </c>
      <c r="I10">
        <f>MATCH("Training",C3:C94,FALSE)</f>
        <v>4</v>
      </c>
      <c r="J10" t="s">
        <v>471</v>
      </c>
    </row>
    <row r="11" spans="1:11" x14ac:dyDescent="0.3">
      <c r="A11" s="26" t="s">
        <v>315</v>
      </c>
      <c r="B11" s="26" t="s">
        <v>141</v>
      </c>
      <c r="C11" s="26" t="s">
        <v>316</v>
      </c>
      <c r="D11" s="27" t="s">
        <v>317</v>
      </c>
      <c r="E11" s="26" t="s">
        <v>299</v>
      </c>
      <c r="F11" s="28">
        <v>44023</v>
      </c>
    </row>
    <row r="12" spans="1:11" x14ac:dyDescent="0.3">
      <c r="A12" s="26" t="s">
        <v>315</v>
      </c>
      <c r="B12" s="26" t="s">
        <v>141</v>
      </c>
      <c r="C12" s="26" t="s">
        <v>316</v>
      </c>
      <c r="D12" s="27" t="s">
        <v>317</v>
      </c>
      <c r="E12" s="26" t="s">
        <v>308</v>
      </c>
      <c r="F12" s="28">
        <v>44029</v>
      </c>
      <c r="I12" s="11" t="s">
        <v>472</v>
      </c>
      <c r="J12" s="11"/>
    </row>
    <row r="13" spans="1:11" x14ac:dyDescent="0.3">
      <c r="A13" s="26" t="s">
        <v>318</v>
      </c>
      <c r="B13" s="26" t="s">
        <v>136</v>
      </c>
      <c r="C13" s="26" t="s">
        <v>310</v>
      </c>
      <c r="D13" s="27" t="s">
        <v>319</v>
      </c>
      <c r="E13" s="26" t="s">
        <v>308</v>
      </c>
      <c r="F13" s="28">
        <v>43666</v>
      </c>
      <c r="I13" t="str">
        <f>INDEX(C3:C94,7)</f>
        <v>Research and Development</v>
      </c>
      <c r="K13" t="s">
        <v>473</v>
      </c>
    </row>
    <row r="14" spans="1:11" x14ac:dyDescent="0.3">
      <c r="A14" s="26" t="s">
        <v>320</v>
      </c>
      <c r="B14" s="26" t="s">
        <v>136</v>
      </c>
      <c r="C14" s="26" t="s">
        <v>316</v>
      </c>
      <c r="D14" s="27" t="s">
        <v>321</v>
      </c>
      <c r="E14" s="26" t="s">
        <v>299</v>
      </c>
      <c r="F14" s="28">
        <v>43922</v>
      </c>
    </row>
    <row r="15" spans="1:11" x14ac:dyDescent="0.3">
      <c r="A15" s="26" t="s">
        <v>322</v>
      </c>
      <c r="B15" s="26" t="s">
        <v>136</v>
      </c>
      <c r="C15" s="26" t="s">
        <v>323</v>
      </c>
      <c r="D15" s="27" t="s">
        <v>324</v>
      </c>
      <c r="E15" s="26" t="s">
        <v>299</v>
      </c>
      <c r="F15" s="28">
        <v>43784</v>
      </c>
      <c r="I15" t="s">
        <v>474</v>
      </c>
    </row>
    <row r="16" spans="1:11" x14ac:dyDescent="0.3">
      <c r="A16" s="26" t="s">
        <v>325</v>
      </c>
      <c r="B16" s="26" t="s">
        <v>136</v>
      </c>
      <c r="C16" s="26" t="s">
        <v>323</v>
      </c>
      <c r="D16" s="27" t="s">
        <v>326</v>
      </c>
      <c r="E16" s="26" t="s">
        <v>314</v>
      </c>
      <c r="F16" s="28">
        <v>43800</v>
      </c>
      <c r="I16" s="29">
        <f>_xlfn.XLOOKUP(A4,A3:A94,F3:F94)</f>
        <v>43894</v>
      </c>
    </row>
    <row r="17" spans="1:9" x14ac:dyDescent="0.3">
      <c r="A17" s="26" t="s">
        <v>327</v>
      </c>
      <c r="B17" s="26" t="s">
        <v>141</v>
      </c>
      <c r="C17" s="26" t="s">
        <v>328</v>
      </c>
      <c r="D17" s="27" t="s">
        <v>329</v>
      </c>
      <c r="E17" s="26" t="s">
        <v>299</v>
      </c>
      <c r="F17" s="28">
        <v>43526</v>
      </c>
      <c r="I17" s="29">
        <f>INDEX(F3:F94,MATCH(A4,A3:A94,FALSE))</f>
        <v>43894</v>
      </c>
    </row>
    <row r="18" spans="1:9" x14ac:dyDescent="0.3">
      <c r="A18" s="26" t="s">
        <v>327</v>
      </c>
      <c r="B18" s="26" t="s">
        <v>141</v>
      </c>
      <c r="C18" s="26" t="s">
        <v>328</v>
      </c>
      <c r="D18" s="27" t="s">
        <v>329</v>
      </c>
      <c r="E18" s="26" t="s">
        <v>308</v>
      </c>
      <c r="F18" s="28">
        <v>43745</v>
      </c>
    </row>
    <row r="19" spans="1:9" x14ac:dyDescent="0.3">
      <c r="A19" s="26" t="s">
        <v>330</v>
      </c>
      <c r="B19" s="26" t="s">
        <v>141</v>
      </c>
      <c r="C19" s="26" t="s">
        <v>331</v>
      </c>
      <c r="D19" s="27" t="s">
        <v>332</v>
      </c>
      <c r="E19" s="26" t="s">
        <v>299</v>
      </c>
      <c r="F19" s="28">
        <v>43797</v>
      </c>
    </row>
    <row r="20" spans="1:9" x14ac:dyDescent="0.3">
      <c r="A20" s="26" t="s">
        <v>333</v>
      </c>
      <c r="B20" s="26" t="s">
        <v>141</v>
      </c>
      <c r="C20" s="26" t="s">
        <v>156</v>
      </c>
      <c r="D20" s="27" t="s">
        <v>334</v>
      </c>
      <c r="E20" s="26" t="s">
        <v>314</v>
      </c>
      <c r="F20" s="28">
        <v>43475</v>
      </c>
    </row>
    <row r="21" spans="1:9" x14ac:dyDescent="0.3">
      <c r="A21" s="26" t="s">
        <v>335</v>
      </c>
      <c r="B21" s="26" t="s">
        <v>136</v>
      </c>
      <c r="C21" s="26" t="s">
        <v>316</v>
      </c>
      <c r="D21" s="27" t="s">
        <v>336</v>
      </c>
      <c r="E21" s="26" t="s">
        <v>299</v>
      </c>
      <c r="F21" s="28">
        <v>43635</v>
      </c>
    </row>
    <row r="22" spans="1:9" x14ac:dyDescent="0.3">
      <c r="A22" s="26" t="s">
        <v>337</v>
      </c>
      <c r="B22" s="26" t="s">
        <v>136</v>
      </c>
      <c r="C22" s="26" t="s">
        <v>301</v>
      </c>
      <c r="D22" s="27" t="s">
        <v>338</v>
      </c>
      <c r="E22" s="26" t="s">
        <v>308</v>
      </c>
      <c r="F22" s="28">
        <v>43582</v>
      </c>
    </row>
    <row r="23" spans="1:9" x14ac:dyDescent="0.3">
      <c r="A23" s="26" t="s">
        <v>339</v>
      </c>
      <c r="B23" s="26" t="s">
        <v>136</v>
      </c>
      <c r="C23" s="26" t="s">
        <v>306</v>
      </c>
      <c r="D23" s="27" t="s">
        <v>340</v>
      </c>
      <c r="E23" s="26" t="s">
        <v>299</v>
      </c>
      <c r="F23" s="28">
        <v>43491</v>
      </c>
    </row>
    <row r="24" spans="1:9" x14ac:dyDescent="0.3">
      <c r="A24" s="26" t="s">
        <v>341</v>
      </c>
      <c r="B24" s="26" t="s">
        <v>136</v>
      </c>
      <c r="C24" s="26" t="s">
        <v>316</v>
      </c>
      <c r="D24" s="27" t="s">
        <v>342</v>
      </c>
      <c r="E24" s="26" t="s">
        <v>308</v>
      </c>
      <c r="F24" s="28">
        <v>43718</v>
      </c>
    </row>
    <row r="25" spans="1:9" x14ac:dyDescent="0.3">
      <c r="A25" s="26" t="s">
        <v>343</v>
      </c>
      <c r="B25" s="26" t="s">
        <v>136</v>
      </c>
      <c r="C25" s="26" t="s">
        <v>331</v>
      </c>
      <c r="D25" s="27" t="s">
        <v>344</v>
      </c>
      <c r="E25" s="26" t="s">
        <v>308</v>
      </c>
      <c r="F25" s="28">
        <v>43696</v>
      </c>
    </row>
    <row r="26" spans="1:9" x14ac:dyDescent="0.3">
      <c r="A26" s="26" t="s">
        <v>345</v>
      </c>
      <c r="B26" s="26" t="s">
        <v>141</v>
      </c>
      <c r="C26" s="26" t="s">
        <v>152</v>
      </c>
      <c r="D26" s="27" t="s">
        <v>346</v>
      </c>
      <c r="E26" s="26" t="s">
        <v>308</v>
      </c>
      <c r="F26" s="28">
        <v>43851</v>
      </c>
    </row>
    <row r="27" spans="1:9" x14ac:dyDescent="0.3">
      <c r="A27" s="26" t="s">
        <v>347</v>
      </c>
      <c r="B27" s="26" t="s">
        <v>136</v>
      </c>
      <c r="C27" s="26" t="s">
        <v>316</v>
      </c>
      <c r="D27" s="27" t="s">
        <v>348</v>
      </c>
      <c r="E27" s="26" t="s">
        <v>308</v>
      </c>
      <c r="F27" s="28">
        <v>43678</v>
      </c>
    </row>
    <row r="28" spans="1:9" x14ac:dyDescent="0.3">
      <c r="A28" s="26" t="s">
        <v>349</v>
      </c>
      <c r="B28" s="26" t="s">
        <v>141</v>
      </c>
      <c r="C28" s="26" t="s">
        <v>156</v>
      </c>
      <c r="D28" s="27" t="s">
        <v>350</v>
      </c>
      <c r="E28" s="26" t="s">
        <v>299</v>
      </c>
      <c r="F28" s="28">
        <v>43521</v>
      </c>
    </row>
    <row r="29" spans="1:9" x14ac:dyDescent="0.3">
      <c r="A29" s="26" t="s">
        <v>351</v>
      </c>
      <c r="B29" s="26" t="s">
        <v>136</v>
      </c>
      <c r="C29" s="26" t="s">
        <v>301</v>
      </c>
      <c r="D29" s="27" t="s">
        <v>352</v>
      </c>
      <c r="E29" s="26" t="s">
        <v>299</v>
      </c>
      <c r="F29" s="28">
        <v>43882</v>
      </c>
    </row>
    <row r="30" spans="1:9" x14ac:dyDescent="0.3">
      <c r="A30" s="26" t="s">
        <v>353</v>
      </c>
      <c r="B30" s="26" t="s">
        <v>141</v>
      </c>
      <c r="C30" s="26" t="s">
        <v>328</v>
      </c>
      <c r="D30" s="27" t="s">
        <v>354</v>
      </c>
      <c r="E30" s="26" t="s">
        <v>308</v>
      </c>
      <c r="F30" s="28">
        <v>43884</v>
      </c>
    </row>
    <row r="31" spans="1:9" x14ac:dyDescent="0.3">
      <c r="A31" s="26" t="s">
        <v>355</v>
      </c>
      <c r="B31" s="26" t="s">
        <v>136</v>
      </c>
      <c r="C31" s="26" t="s">
        <v>301</v>
      </c>
      <c r="D31" s="27" t="s">
        <v>356</v>
      </c>
      <c r="E31" s="26" t="s">
        <v>314</v>
      </c>
      <c r="F31" s="28">
        <v>43868</v>
      </c>
    </row>
    <row r="32" spans="1:9" x14ac:dyDescent="0.3">
      <c r="A32" s="26" t="s">
        <v>355</v>
      </c>
      <c r="B32" s="26" t="s">
        <v>136</v>
      </c>
      <c r="C32" s="26" t="s">
        <v>301</v>
      </c>
      <c r="D32" s="27" t="s">
        <v>356</v>
      </c>
      <c r="E32" s="26" t="s">
        <v>308</v>
      </c>
      <c r="F32" s="28">
        <v>44022</v>
      </c>
    </row>
    <row r="33" spans="1:6" x14ac:dyDescent="0.3">
      <c r="A33" s="26" t="s">
        <v>357</v>
      </c>
      <c r="B33" s="26" t="s">
        <v>136</v>
      </c>
      <c r="C33" s="26" t="s">
        <v>152</v>
      </c>
      <c r="D33" s="27" t="s">
        <v>358</v>
      </c>
      <c r="E33" s="26" t="s">
        <v>308</v>
      </c>
      <c r="F33" s="28">
        <v>43543</v>
      </c>
    </row>
    <row r="34" spans="1:6" x14ac:dyDescent="0.3">
      <c r="A34" s="26" t="s">
        <v>359</v>
      </c>
      <c r="B34" s="26" t="s">
        <v>141</v>
      </c>
      <c r="C34" s="26" t="s">
        <v>331</v>
      </c>
      <c r="D34" s="27" t="s">
        <v>360</v>
      </c>
      <c r="E34" s="26" t="s">
        <v>314</v>
      </c>
      <c r="F34" s="28">
        <v>43648</v>
      </c>
    </row>
    <row r="35" spans="1:6" x14ac:dyDescent="0.3">
      <c r="A35" s="26" t="s">
        <v>361</v>
      </c>
      <c r="B35" s="26" t="s">
        <v>141</v>
      </c>
      <c r="C35" s="26" t="s">
        <v>152</v>
      </c>
      <c r="D35" s="27" t="s">
        <v>362</v>
      </c>
      <c r="E35" s="26" t="s">
        <v>299</v>
      </c>
      <c r="F35" s="28">
        <v>43573</v>
      </c>
    </row>
    <row r="36" spans="1:6" x14ac:dyDescent="0.3">
      <c r="A36" s="26" t="s">
        <v>363</v>
      </c>
      <c r="B36" s="26" t="s">
        <v>136</v>
      </c>
      <c r="C36" s="26" t="s">
        <v>306</v>
      </c>
      <c r="D36" s="27" t="s">
        <v>364</v>
      </c>
      <c r="E36" s="26" t="s">
        <v>299</v>
      </c>
      <c r="F36" s="28">
        <v>43651</v>
      </c>
    </row>
    <row r="37" spans="1:6" x14ac:dyDescent="0.3">
      <c r="A37" s="26" t="s">
        <v>365</v>
      </c>
      <c r="B37" s="26" t="s">
        <v>141</v>
      </c>
      <c r="C37" s="26" t="s">
        <v>306</v>
      </c>
      <c r="D37" s="27" t="s">
        <v>366</v>
      </c>
      <c r="E37" s="26" t="s">
        <v>299</v>
      </c>
      <c r="F37" s="28">
        <v>43540</v>
      </c>
    </row>
    <row r="38" spans="1:6" x14ac:dyDescent="0.3">
      <c r="A38" s="26" t="s">
        <v>367</v>
      </c>
      <c r="B38" s="26" t="s">
        <v>141</v>
      </c>
      <c r="C38" s="26" t="s">
        <v>328</v>
      </c>
      <c r="D38" s="27" t="s">
        <v>368</v>
      </c>
      <c r="E38" s="26" t="s">
        <v>314</v>
      </c>
      <c r="F38" s="28">
        <v>43819</v>
      </c>
    </row>
    <row r="39" spans="1:6" x14ac:dyDescent="0.3">
      <c r="A39" s="26" t="s">
        <v>367</v>
      </c>
      <c r="B39" s="26" t="s">
        <v>141</v>
      </c>
      <c r="C39" s="26" t="s">
        <v>328</v>
      </c>
      <c r="D39" s="27" t="s">
        <v>368</v>
      </c>
      <c r="E39" s="26" t="s">
        <v>299</v>
      </c>
      <c r="F39" s="28">
        <v>43958</v>
      </c>
    </row>
    <row r="40" spans="1:6" x14ac:dyDescent="0.3">
      <c r="A40" s="26" t="s">
        <v>369</v>
      </c>
      <c r="B40" s="26"/>
      <c r="C40" s="26" t="s">
        <v>306</v>
      </c>
      <c r="D40" s="27" t="s">
        <v>370</v>
      </c>
      <c r="E40" s="26" t="s">
        <v>308</v>
      </c>
      <c r="F40" s="28">
        <v>43939</v>
      </c>
    </row>
    <row r="41" spans="1:6" x14ac:dyDescent="0.3">
      <c r="A41" s="26" t="s">
        <v>371</v>
      </c>
      <c r="B41" s="26" t="s">
        <v>136</v>
      </c>
      <c r="C41" s="26" t="s">
        <v>331</v>
      </c>
      <c r="D41" s="27" t="s">
        <v>372</v>
      </c>
      <c r="E41" s="26" t="s">
        <v>314</v>
      </c>
      <c r="F41" s="28">
        <v>43736</v>
      </c>
    </row>
    <row r="42" spans="1:6" x14ac:dyDescent="0.3">
      <c r="A42" s="26" t="s">
        <v>373</v>
      </c>
      <c r="B42" s="26" t="s">
        <v>136</v>
      </c>
      <c r="C42" s="26" t="s">
        <v>374</v>
      </c>
      <c r="D42" s="27" t="s">
        <v>375</v>
      </c>
      <c r="E42" s="26" t="s">
        <v>308</v>
      </c>
      <c r="F42" s="28">
        <v>43805</v>
      </c>
    </row>
    <row r="43" spans="1:6" x14ac:dyDescent="0.3">
      <c r="A43" s="26" t="s">
        <v>376</v>
      </c>
      <c r="B43" s="26" t="s">
        <v>136</v>
      </c>
      <c r="C43" s="26" t="s">
        <v>328</v>
      </c>
      <c r="D43" s="27" t="s">
        <v>377</v>
      </c>
      <c r="E43" s="26" t="s">
        <v>299</v>
      </c>
      <c r="F43" s="28">
        <v>43494</v>
      </c>
    </row>
    <row r="44" spans="1:6" x14ac:dyDescent="0.3">
      <c r="A44" s="26" t="s">
        <v>376</v>
      </c>
      <c r="B44" s="26" t="s">
        <v>136</v>
      </c>
      <c r="C44" s="26" t="s">
        <v>328</v>
      </c>
      <c r="D44" s="27" t="s">
        <v>377</v>
      </c>
      <c r="E44" s="26" t="s">
        <v>314</v>
      </c>
      <c r="F44" s="28">
        <v>43984</v>
      </c>
    </row>
    <row r="45" spans="1:6" x14ac:dyDescent="0.3">
      <c r="A45" s="26" t="s">
        <v>378</v>
      </c>
      <c r="B45" s="26" t="s">
        <v>141</v>
      </c>
      <c r="C45" s="26" t="s">
        <v>331</v>
      </c>
      <c r="D45" s="27" t="s">
        <v>379</v>
      </c>
      <c r="E45" s="26" t="s">
        <v>314</v>
      </c>
      <c r="F45" s="28">
        <v>43552</v>
      </c>
    </row>
    <row r="46" spans="1:6" x14ac:dyDescent="0.3">
      <c r="A46" s="26" t="s">
        <v>380</v>
      </c>
      <c r="B46" s="26"/>
      <c r="C46" s="26" t="s">
        <v>316</v>
      </c>
      <c r="D46" s="27" t="s">
        <v>381</v>
      </c>
      <c r="E46" s="26" t="s">
        <v>308</v>
      </c>
      <c r="F46" s="28">
        <v>43678</v>
      </c>
    </row>
    <row r="47" spans="1:6" x14ac:dyDescent="0.3">
      <c r="A47" s="26" t="s">
        <v>382</v>
      </c>
      <c r="B47" s="26" t="s">
        <v>141</v>
      </c>
      <c r="C47" s="26" t="s">
        <v>374</v>
      </c>
      <c r="D47" s="27" t="s">
        <v>383</v>
      </c>
      <c r="E47" s="26" t="s">
        <v>308</v>
      </c>
      <c r="F47" s="28">
        <v>43486</v>
      </c>
    </row>
    <row r="48" spans="1:6" x14ac:dyDescent="0.3">
      <c r="A48" s="26" t="s">
        <v>384</v>
      </c>
      <c r="B48" s="26" t="s">
        <v>141</v>
      </c>
      <c r="C48" s="26" t="s">
        <v>306</v>
      </c>
      <c r="D48" s="27" t="s">
        <v>385</v>
      </c>
      <c r="E48" s="26" t="s">
        <v>308</v>
      </c>
      <c r="F48" s="28">
        <v>43876</v>
      </c>
    </row>
    <row r="49" spans="1:6" x14ac:dyDescent="0.3">
      <c r="A49" s="26" t="s">
        <v>386</v>
      </c>
      <c r="B49" s="26" t="s">
        <v>136</v>
      </c>
      <c r="C49" s="26" t="s">
        <v>301</v>
      </c>
      <c r="D49" s="27" t="s">
        <v>387</v>
      </c>
      <c r="E49" s="26" t="s">
        <v>299</v>
      </c>
      <c r="F49" s="28">
        <v>43724</v>
      </c>
    </row>
    <row r="50" spans="1:6" x14ac:dyDescent="0.3">
      <c r="A50" s="26" t="s">
        <v>388</v>
      </c>
      <c r="B50" s="26" t="s">
        <v>136</v>
      </c>
      <c r="C50" s="26" t="s">
        <v>297</v>
      </c>
      <c r="D50" s="11"/>
      <c r="E50" s="26" t="s">
        <v>299</v>
      </c>
      <c r="F50" s="28">
        <v>43711</v>
      </c>
    </row>
    <row r="51" spans="1:6" x14ac:dyDescent="0.3">
      <c r="A51" s="26" t="s">
        <v>389</v>
      </c>
      <c r="B51" s="26" t="s">
        <v>136</v>
      </c>
      <c r="C51" s="26" t="s">
        <v>310</v>
      </c>
      <c r="D51" s="27" t="s">
        <v>390</v>
      </c>
      <c r="E51" s="26" t="s">
        <v>308</v>
      </c>
      <c r="F51" s="28">
        <v>44039</v>
      </c>
    </row>
    <row r="52" spans="1:6" x14ac:dyDescent="0.3">
      <c r="A52" s="26" t="s">
        <v>391</v>
      </c>
      <c r="B52" s="26" t="s">
        <v>136</v>
      </c>
      <c r="C52" s="26" t="s">
        <v>304</v>
      </c>
      <c r="D52" s="27" t="s">
        <v>392</v>
      </c>
      <c r="E52" s="26" t="s">
        <v>299</v>
      </c>
      <c r="F52" s="28">
        <v>43842</v>
      </c>
    </row>
    <row r="53" spans="1:6" x14ac:dyDescent="0.3">
      <c r="A53" s="26" t="s">
        <v>393</v>
      </c>
      <c r="B53" s="26" t="s">
        <v>136</v>
      </c>
      <c r="C53" s="26" t="s">
        <v>316</v>
      </c>
      <c r="D53" s="27" t="s">
        <v>394</v>
      </c>
      <c r="E53" s="26" t="s">
        <v>314</v>
      </c>
      <c r="F53" s="28">
        <v>43500</v>
      </c>
    </row>
    <row r="54" spans="1:6" x14ac:dyDescent="0.3">
      <c r="A54" s="26" t="s">
        <v>393</v>
      </c>
      <c r="B54" s="26" t="s">
        <v>136</v>
      </c>
      <c r="C54" s="26" t="s">
        <v>316</v>
      </c>
      <c r="D54" s="27" t="s">
        <v>394</v>
      </c>
      <c r="E54" s="26" t="s">
        <v>314</v>
      </c>
      <c r="F54" s="28">
        <v>43824</v>
      </c>
    </row>
    <row r="55" spans="1:6" x14ac:dyDescent="0.3">
      <c r="A55" s="26" t="s">
        <v>395</v>
      </c>
      <c r="B55" s="26" t="s">
        <v>141</v>
      </c>
      <c r="C55" s="26" t="s">
        <v>310</v>
      </c>
      <c r="D55" s="27" t="s">
        <v>396</v>
      </c>
      <c r="E55" s="26" t="s">
        <v>314</v>
      </c>
      <c r="F55" s="28">
        <v>43626</v>
      </c>
    </row>
    <row r="56" spans="1:6" x14ac:dyDescent="0.3">
      <c r="A56" s="26" t="s">
        <v>397</v>
      </c>
      <c r="B56" s="26" t="s">
        <v>141</v>
      </c>
      <c r="C56" s="26" t="s">
        <v>331</v>
      </c>
      <c r="D56" s="27" t="s">
        <v>398</v>
      </c>
      <c r="E56" s="26" t="s">
        <v>314</v>
      </c>
      <c r="F56" s="28">
        <v>43712</v>
      </c>
    </row>
    <row r="57" spans="1:6" x14ac:dyDescent="0.3">
      <c r="A57" s="26" t="s">
        <v>399</v>
      </c>
      <c r="B57" s="26" t="s">
        <v>136</v>
      </c>
      <c r="C57" s="26" t="s">
        <v>331</v>
      </c>
      <c r="D57" s="27" t="s">
        <v>400</v>
      </c>
      <c r="E57" s="26" t="s">
        <v>308</v>
      </c>
      <c r="F57" s="28">
        <v>44026</v>
      </c>
    </row>
    <row r="58" spans="1:6" x14ac:dyDescent="0.3">
      <c r="A58" s="26" t="s">
        <v>401</v>
      </c>
      <c r="B58" s="26"/>
      <c r="C58" s="26" t="s">
        <v>331</v>
      </c>
      <c r="D58" s="27" t="s">
        <v>402</v>
      </c>
      <c r="E58" s="26" t="s">
        <v>299</v>
      </c>
      <c r="F58" s="28">
        <v>44011</v>
      </c>
    </row>
    <row r="59" spans="1:6" x14ac:dyDescent="0.3">
      <c r="A59" s="26" t="s">
        <v>403</v>
      </c>
      <c r="B59" s="26"/>
      <c r="C59" s="26" t="s">
        <v>310</v>
      </c>
      <c r="D59" s="27" t="s">
        <v>404</v>
      </c>
      <c r="E59" s="26" t="s">
        <v>299</v>
      </c>
      <c r="F59" s="28">
        <v>43723</v>
      </c>
    </row>
    <row r="60" spans="1:6" x14ac:dyDescent="0.3">
      <c r="A60" s="26" t="s">
        <v>405</v>
      </c>
      <c r="B60" s="26" t="s">
        <v>136</v>
      </c>
      <c r="C60" s="26" t="s">
        <v>374</v>
      </c>
      <c r="D60" s="27" t="s">
        <v>406</v>
      </c>
      <c r="E60" s="26" t="s">
        <v>308</v>
      </c>
      <c r="F60" s="28">
        <v>44025</v>
      </c>
    </row>
    <row r="61" spans="1:6" x14ac:dyDescent="0.3">
      <c r="A61" s="26" t="s">
        <v>407</v>
      </c>
      <c r="B61" s="26" t="s">
        <v>136</v>
      </c>
      <c r="C61" s="26" t="s">
        <v>152</v>
      </c>
      <c r="D61" s="27" t="s">
        <v>408</v>
      </c>
      <c r="E61" s="26" t="s">
        <v>299</v>
      </c>
      <c r="F61" s="28">
        <v>43876</v>
      </c>
    </row>
    <row r="62" spans="1:6" x14ac:dyDescent="0.3">
      <c r="A62" s="26" t="s">
        <v>409</v>
      </c>
      <c r="B62" s="26" t="s">
        <v>141</v>
      </c>
      <c r="C62" s="26" t="s">
        <v>323</v>
      </c>
      <c r="D62" s="27" t="s">
        <v>410</v>
      </c>
      <c r="E62" s="26" t="s">
        <v>314</v>
      </c>
      <c r="F62" s="28">
        <v>43649</v>
      </c>
    </row>
    <row r="63" spans="1:6" x14ac:dyDescent="0.3">
      <c r="A63" s="26" t="s">
        <v>411</v>
      </c>
      <c r="B63" s="26" t="s">
        <v>141</v>
      </c>
      <c r="C63" s="26" t="s">
        <v>301</v>
      </c>
      <c r="D63" s="27" t="s">
        <v>412</v>
      </c>
      <c r="E63" s="26" t="s">
        <v>314</v>
      </c>
      <c r="F63" s="28">
        <v>43995</v>
      </c>
    </row>
    <row r="64" spans="1:6" x14ac:dyDescent="0.3">
      <c r="A64" s="26" t="s">
        <v>413</v>
      </c>
      <c r="B64" s="26" t="s">
        <v>141</v>
      </c>
      <c r="C64" s="26" t="s">
        <v>156</v>
      </c>
      <c r="D64" s="27" t="s">
        <v>414</v>
      </c>
      <c r="E64" s="26" t="s">
        <v>299</v>
      </c>
      <c r="F64" s="28">
        <v>43717</v>
      </c>
    </row>
    <row r="65" spans="1:6" x14ac:dyDescent="0.3">
      <c r="A65" s="26" t="s">
        <v>415</v>
      </c>
      <c r="B65" s="26" t="s">
        <v>141</v>
      </c>
      <c r="C65" s="26" t="s">
        <v>316</v>
      </c>
      <c r="D65" s="27" t="s">
        <v>416</v>
      </c>
      <c r="E65" s="26" t="s">
        <v>314</v>
      </c>
      <c r="F65" s="28">
        <v>43650</v>
      </c>
    </row>
    <row r="66" spans="1:6" x14ac:dyDescent="0.3">
      <c r="A66" s="26" t="s">
        <v>417</v>
      </c>
      <c r="B66" s="26" t="s">
        <v>141</v>
      </c>
      <c r="C66" s="26" t="s">
        <v>316</v>
      </c>
      <c r="D66" s="27" t="s">
        <v>418</v>
      </c>
      <c r="E66" s="26" t="s">
        <v>308</v>
      </c>
      <c r="F66" s="28">
        <v>43684</v>
      </c>
    </row>
    <row r="67" spans="1:6" x14ac:dyDescent="0.3">
      <c r="A67" s="26" t="s">
        <v>419</v>
      </c>
      <c r="B67" s="26" t="s">
        <v>141</v>
      </c>
      <c r="C67" s="26" t="s">
        <v>328</v>
      </c>
      <c r="D67" s="27" t="s">
        <v>420</v>
      </c>
      <c r="E67" s="26" t="s">
        <v>314</v>
      </c>
      <c r="F67" s="28">
        <v>43643</v>
      </c>
    </row>
    <row r="68" spans="1:6" x14ac:dyDescent="0.3">
      <c r="A68" s="26" t="s">
        <v>421</v>
      </c>
      <c r="B68" s="26" t="s">
        <v>136</v>
      </c>
      <c r="C68" s="26" t="s">
        <v>156</v>
      </c>
      <c r="D68" s="27" t="s">
        <v>422</v>
      </c>
      <c r="E68" s="26" t="s">
        <v>314</v>
      </c>
      <c r="F68" s="28">
        <v>43994</v>
      </c>
    </row>
    <row r="69" spans="1:6" x14ac:dyDescent="0.3">
      <c r="A69" s="26" t="s">
        <v>423</v>
      </c>
      <c r="B69" s="26" t="s">
        <v>136</v>
      </c>
      <c r="C69" s="26" t="s">
        <v>316</v>
      </c>
      <c r="D69" s="27" t="s">
        <v>424</v>
      </c>
      <c r="E69" s="26" t="s">
        <v>314</v>
      </c>
      <c r="F69" s="28">
        <v>43534</v>
      </c>
    </row>
    <row r="70" spans="1:6" x14ac:dyDescent="0.3">
      <c r="A70" s="26" t="s">
        <v>423</v>
      </c>
      <c r="B70" s="26" t="s">
        <v>136</v>
      </c>
      <c r="C70" s="26" t="s">
        <v>316</v>
      </c>
      <c r="D70" s="27" t="s">
        <v>424</v>
      </c>
      <c r="E70" s="26" t="s">
        <v>308</v>
      </c>
      <c r="F70" s="28">
        <v>43711</v>
      </c>
    </row>
    <row r="71" spans="1:6" x14ac:dyDescent="0.3">
      <c r="A71" s="26" t="s">
        <v>425</v>
      </c>
      <c r="B71" s="26" t="s">
        <v>141</v>
      </c>
      <c r="C71" s="26" t="s">
        <v>304</v>
      </c>
      <c r="D71" s="27" t="s">
        <v>426</v>
      </c>
      <c r="E71" s="26" t="s">
        <v>308</v>
      </c>
      <c r="F71" s="28">
        <v>43887</v>
      </c>
    </row>
    <row r="72" spans="1:6" x14ac:dyDescent="0.3">
      <c r="A72" s="26" t="s">
        <v>427</v>
      </c>
      <c r="B72" s="26" t="s">
        <v>141</v>
      </c>
      <c r="C72" s="26" t="s">
        <v>306</v>
      </c>
      <c r="D72" s="27" t="s">
        <v>428</v>
      </c>
      <c r="E72" s="26" t="s">
        <v>314</v>
      </c>
      <c r="F72" s="28">
        <v>43732</v>
      </c>
    </row>
    <row r="73" spans="1:6" x14ac:dyDescent="0.3">
      <c r="A73" s="26" t="s">
        <v>427</v>
      </c>
      <c r="B73" s="26" t="s">
        <v>141</v>
      </c>
      <c r="C73" s="26" t="s">
        <v>306</v>
      </c>
      <c r="D73" s="27" t="s">
        <v>428</v>
      </c>
      <c r="E73" s="26" t="s">
        <v>308</v>
      </c>
      <c r="F73" s="28">
        <v>43933</v>
      </c>
    </row>
    <row r="74" spans="1:6" x14ac:dyDescent="0.3">
      <c r="A74" s="26" t="s">
        <v>429</v>
      </c>
      <c r="B74" s="26"/>
      <c r="C74" s="26" t="s">
        <v>328</v>
      </c>
      <c r="D74" s="27" t="s">
        <v>430</v>
      </c>
      <c r="E74" s="26" t="s">
        <v>308</v>
      </c>
      <c r="F74" s="28">
        <v>43896</v>
      </c>
    </row>
    <row r="75" spans="1:6" x14ac:dyDescent="0.3">
      <c r="A75" s="26" t="s">
        <v>431</v>
      </c>
      <c r="B75" s="26"/>
      <c r="C75" s="26" t="s">
        <v>374</v>
      </c>
      <c r="D75" s="27" t="s">
        <v>432</v>
      </c>
      <c r="E75" s="26" t="s">
        <v>299</v>
      </c>
      <c r="F75" s="28">
        <v>43581</v>
      </c>
    </row>
    <row r="76" spans="1:6" x14ac:dyDescent="0.3">
      <c r="A76" s="26" t="s">
        <v>433</v>
      </c>
      <c r="B76" s="26" t="s">
        <v>136</v>
      </c>
      <c r="C76" s="26" t="s">
        <v>306</v>
      </c>
      <c r="D76" s="27" t="s">
        <v>434</v>
      </c>
      <c r="E76" s="26" t="s">
        <v>299</v>
      </c>
      <c r="F76" s="28">
        <v>43727</v>
      </c>
    </row>
    <row r="77" spans="1:6" x14ac:dyDescent="0.3">
      <c r="A77" s="26" t="s">
        <v>435</v>
      </c>
      <c r="B77" s="26" t="s">
        <v>136</v>
      </c>
      <c r="C77" s="26" t="s">
        <v>316</v>
      </c>
      <c r="D77" s="27" t="s">
        <v>436</v>
      </c>
      <c r="E77" s="26" t="s">
        <v>299</v>
      </c>
      <c r="F77" s="28">
        <v>43477</v>
      </c>
    </row>
    <row r="78" spans="1:6" x14ac:dyDescent="0.3">
      <c r="A78" s="26" t="s">
        <v>435</v>
      </c>
      <c r="B78" s="26" t="s">
        <v>136</v>
      </c>
      <c r="C78" s="26" t="s">
        <v>316</v>
      </c>
      <c r="D78" s="27" t="s">
        <v>436</v>
      </c>
      <c r="E78" s="26" t="s">
        <v>299</v>
      </c>
      <c r="F78" s="28">
        <v>43701</v>
      </c>
    </row>
    <row r="79" spans="1:6" x14ac:dyDescent="0.3">
      <c r="A79" s="26" t="s">
        <v>437</v>
      </c>
      <c r="B79" s="26" t="s">
        <v>136</v>
      </c>
      <c r="C79" s="26" t="s">
        <v>328</v>
      </c>
      <c r="D79" s="27" t="s">
        <v>438</v>
      </c>
      <c r="E79" s="26" t="s">
        <v>308</v>
      </c>
      <c r="F79" s="28">
        <v>44002</v>
      </c>
    </row>
    <row r="80" spans="1:6" x14ac:dyDescent="0.3">
      <c r="A80" s="26" t="s">
        <v>439</v>
      </c>
      <c r="B80" s="26" t="s">
        <v>141</v>
      </c>
      <c r="C80" s="26" t="s">
        <v>316</v>
      </c>
      <c r="D80" s="27" t="s">
        <v>440</v>
      </c>
      <c r="E80" s="26" t="s">
        <v>308</v>
      </c>
      <c r="F80" s="28">
        <v>43613</v>
      </c>
    </row>
    <row r="81" spans="1:6" x14ac:dyDescent="0.3">
      <c r="A81" s="26" t="s">
        <v>439</v>
      </c>
      <c r="B81" s="26" t="s">
        <v>141</v>
      </c>
      <c r="C81" s="26" t="s">
        <v>316</v>
      </c>
      <c r="D81" s="27" t="s">
        <v>440</v>
      </c>
      <c r="E81" s="26" t="s">
        <v>299</v>
      </c>
      <c r="F81" s="28">
        <v>43795</v>
      </c>
    </row>
    <row r="82" spans="1:6" x14ac:dyDescent="0.3">
      <c r="A82" s="26" t="s">
        <v>441</v>
      </c>
      <c r="B82" s="26" t="s">
        <v>136</v>
      </c>
      <c r="C82" s="26" t="s">
        <v>304</v>
      </c>
      <c r="D82" s="27" t="s">
        <v>442</v>
      </c>
      <c r="E82" s="26" t="s">
        <v>314</v>
      </c>
      <c r="F82" s="28">
        <v>43548</v>
      </c>
    </row>
    <row r="83" spans="1:6" x14ac:dyDescent="0.3">
      <c r="A83" s="26" t="s">
        <v>443</v>
      </c>
      <c r="B83" s="26" t="s">
        <v>136</v>
      </c>
      <c r="C83" s="26" t="s">
        <v>152</v>
      </c>
      <c r="D83" s="27" t="s">
        <v>444</v>
      </c>
      <c r="E83" s="26" t="s">
        <v>314</v>
      </c>
      <c r="F83" s="28">
        <v>43932</v>
      </c>
    </row>
    <row r="84" spans="1:6" x14ac:dyDescent="0.3">
      <c r="A84" s="26" t="s">
        <v>445</v>
      </c>
      <c r="B84" s="26" t="s">
        <v>136</v>
      </c>
      <c r="C84" s="26" t="s">
        <v>316</v>
      </c>
      <c r="D84" s="27" t="s">
        <v>446</v>
      </c>
      <c r="E84" s="26" t="s">
        <v>308</v>
      </c>
      <c r="F84" s="28">
        <v>43806</v>
      </c>
    </row>
    <row r="85" spans="1:6" x14ac:dyDescent="0.3">
      <c r="A85" s="26" t="s">
        <v>445</v>
      </c>
      <c r="B85" s="26" t="s">
        <v>136</v>
      </c>
      <c r="C85" s="26" t="s">
        <v>316</v>
      </c>
      <c r="D85" s="27" t="s">
        <v>446</v>
      </c>
      <c r="E85" s="26" t="s">
        <v>299</v>
      </c>
      <c r="F85" s="28">
        <v>43876</v>
      </c>
    </row>
    <row r="86" spans="1:6" x14ac:dyDescent="0.3">
      <c r="A86" s="26" t="s">
        <v>447</v>
      </c>
      <c r="B86" s="26" t="s">
        <v>141</v>
      </c>
      <c r="C86" s="26" t="s">
        <v>448</v>
      </c>
      <c r="D86" s="27" t="s">
        <v>449</v>
      </c>
      <c r="E86" s="26" t="s">
        <v>314</v>
      </c>
      <c r="F86" s="28">
        <v>43993</v>
      </c>
    </row>
    <row r="87" spans="1:6" x14ac:dyDescent="0.3">
      <c r="A87" s="26" t="s">
        <v>450</v>
      </c>
      <c r="B87" s="26" t="s">
        <v>136</v>
      </c>
      <c r="C87" s="26" t="s">
        <v>156</v>
      </c>
      <c r="D87" s="27" t="s">
        <v>451</v>
      </c>
      <c r="E87" s="26" t="s">
        <v>314</v>
      </c>
      <c r="F87" s="28">
        <v>43942</v>
      </c>
    </row>
    <row r="88" spans="1:6" x14ac:dyDescent="0.3">
      <c r="A88" s="26" t="s">
        <v>452</v>
      </c>
      <c r="B88" s="26" t="s">
        <v>136</v>
      </c>
      <c r="C88" s="26" t="s">
        <v>316</v>
      </c>
      <c r="D88" s="27" t="s">
        <v>453</v>
      </c>
      <c r="E88" s="26" t="s">
        <v>308</v>
      </c>
      <c r="F88" s="28">
        <v>43839</v>
      </c>
    </row>
    <row r="89" spans="1:6" x14ac:dyDescent="0.3">
      <c r="A89" s="26" t="s">
        <v>454</v>
      </c>
      <c r="B89" s="26" t="s">
        <v>136</v>
      </c>
      <c r="C89" s="26" t="s">
        <v>310</v>
      </c>
      <c r="D89" s="27" t="s">
        <v>455</v>
      </c>
      <c r="E89" s="26" t="s">
        <v>308</v>
      </c>
      <c r="F89" s="28">
        <v>43512</v>
      </c>
    </row>
    <row r="90" spans="1:6" x14ac:dyDescent="0.3">
      <c r="A90" s="26" t="s">
        <v>456</v>
      </c>
      <c r="B90" s="26" t="s">
        <v>141</v>
      </c>
      <c r="C90" s="26" t="s">
        <v>301</v>
      </c>
      <c r="D90" s="27" t="s">
        <v>457</v>
      </c>
      <c r="E90" s="26" t="s">
        <v>314</v>
      </c>
      <c r="F90" s="28">
        <v>43639</v>
      </c>
    </row>
    <row r="91" spans="1:6" x14ac:dyDescent="0.3">
      <c r="A91" s="26" t="s">
        <v>458</v>
      </c>
      <c r="B91" s="26" t="s">
        <v>141</v>
      </c>
      <c r="C91" s="26" t="s">
        <v>374</v>
      </c>
      <c r="D91" s="27" t="s">
        <v>459</v>
      </c>
      <c r="E91" s="26" t="s">
        <v>308</v>
      </c>
      <c r="F91" s="28">
        <v>43555</v>
      </c>
    </row>
    <row r="92" spans="1:6" x14ac:dyDescent="0.3">
      <c r="A92" s="26" t="s">
        <v>460</v>
      </c>
      <c r="B92" s="26" t="s">
        <v>136</v>
      </c>
      <c r="C92" s="26" t="s">
        <v>374</v>
      </c>
      <c r="D92" s="26"/>
      <c r="E92" s="26" t="s">
        <v>299</v>
      </c>
      <c r="F92" s="28">
        <v>43565</v>
      </c>
    </row>
    <row r="93" spans="1:6" x14ac:dyDescent="0.3">
      <c r="A93" s="26" t="s">
        <v>461</v>
      </c>
      <c r="B93" s="26" t="s">
        <v>136</v>
      </c>
      <c r="C93" s="26" t="s">
        <v>331</v>
      </c>
      <c r="D93" s="27" t="s">
        <v>462</v>
      </c>
      <c r="E93" s="26" t="s">
        <v>308</v>
      </c>
      <c r="F93" s="28">
        <v>43716</v>
      </c>
    </row>
    <row r="94" spans="1:6" x14ac:dyDescent="0.3">
      <c r="A94" s="26" t="s">
        <v>463</v>
      </c>
      <c r="B94" s="26" t="s">
        <v>141</v>
      </c>
      <c r="C94" s="26" t="s">
        <v>310</v>
      </c>
      <c r="D94" s="27" t="s">
        <v>464</v>
      </c>
      <c r="E94" s="26" t="s">
        <v>308</v>
      </c>
      <c r="F94" s="28">
        <v>43746</v>
      </c>
    </row>
    <row r="98" spans="1:20" x14ac:dyDescent="0.3">
      <c r="S98" t="s">
        <v>633</v>
      </c>
      <c r="T98" t="s">
        <v>634</v>
      </c>
    </row>
    <row r="99" spans="1:20" x14ac:dyDescent="0.3">
      <c r="A99" s="11" t="s">
        <v>475</v>
      </c>
      <c r="B99" s="11" t="s">
        <v>476</v>
      </c>
      <c r="C99" s="11" t="s">
        <v>132</v>
      </c>
      <c r="D99" s="11" t="s">
        <v>126</v>
      </c>
      <c r="E99" s="11" t="s">
        <v>127</v>
      </c>
      <c r="F99" s="11" t="s">
        <v>477</v>
      </c>
      <c r="G99" s="11" t="s">
        <v>478</v>
      </c>
      <c r="H99" s="11" t="s">
        <v>479</v>
      </c>
      <c r="I99" s="11" t="s">
        <v>480</v>
      </c>
      <c r="J99" s="11" t="s">
        <v>481</v>
      </c>
      <c r="K99" s="11" t="s">
        <v>482</v>
      </c>
      <c r="L99" s="11" t="s">
        <v>483</v>
      </c>
      <c r="M99" s="11" t="s">
        <v>484</v>
      </c>
      <c r="N99" s="11" t="s">
        <v>485</v>
      </c>
      <c r="O99" s="11" t="s">
        <v>486</v>
      </c>
      <c r="R99" s="11" t="s">
        <v>630</v>
      </c>
      <c r="S99" s="11" t="s">
        <v>631</v>
      </c>
      <c r="T99" s="11" t="s">
        <v>632</v>
      </c>
    </row>
    <row r="100" spans="1:20" x14ac:dyDescent="0.3">
      <c r="A100" s="11" t="s">
        <v>487</v>
      </c>
      <c r="B100" s="11" t="s">
        <v>135</v>
      </c>
      <c r="C100" s="11" t="s">
        <v>139</v>
      </c>
      <c r="D100" s="10">
        <v>28</v>
      </c>
      <c r="E100" s="11" t="s">
        <v>136</v>
      </c>
      <c r="F100" s="11" t="s">
        <v>89</v>
      </c>
      <c r="G100" s="11" t="s">
        <v>88</v>
      </c>
      <c r="H100" s="10">
        <v>55000</v>
      </c>
      <c r="I100" s="10">
        <v>1</v>
      </c>
      <c r="J100" s="12">
        <v>46027</v>
      </c>
      <c r="K100" s="11" t="s">
        <v>488</v>
      </c>
      <c r="L100" s="10">
        <v>300000</v>
      </c>
      <c r="M100" s="10">
        <v>5</v>
      </c>
      <c r="N100" s="10">
        <v>9.5</v>
      </c>
      <c r="O100" s="11" t="s">
        <v>489</v>
      </c>
      <c r="R100" s="11" t="s">
        <v>517</v>
      </c>
      <c r="S100" t="str">
        <f t="shared" ref="S100:S110" si="0">VLOOKUP(R100,$A$99:$O$149,11,FALSE)</f>
        <v>Credit Card</v>
      </c>
      <c r="T100">
        <f t="shared" ref="T100:T110" si="1">INDEX($L$99:$L$149,MATCH(R100,$A$99:$A$149,FALSE))</f>
        <v>120000</v>
      </c>
    </row>
    <row r="101" spans="1:20" x14ac:dyDescent="0.3">
      <c r="A101" s="11" t="s">
        <v>490</v>
      </c>
      <c r="B101" s="11" t="s">
        <v>140</v>
      </c>
      <c r="C101" s="11" t="s">
        <v>144</v>
      </c>
      <c r="D101" s="10">
        <v>32</v>
      </c>
      <c r="E101" s="11" t="s">
        <v>141</v>
      </c>
      <c r="F101" s="11" t="s">
        <v>491</v>
      </c>
      <c r="G101" s="11" t="s">
        <v>492</v>
      </c>
      <c r="H101" s="10">
        <v>2500</v>
      </c>
      <c r="I101" s="10">
        <v>2</v>
      </c>
      <c r="J101" s="12">
        <v>46029</v>
      </c>
      <c r="K101" s="11" t="s">
        <v>493</v>
      </c>
      <c r="L101" s="10">
        <v>150000</v>
      </c>
      <c r="M101" s="10">
        <v>3</v>
      </c>
      <c r="N101" s="10">
        <v>10.199999999999999</v>
      </c>
      <c r="O101" s="11" t="s">
        <v>489</v>
      </c>
      <c r="R101" s="11" t="s">
        <v>521</v>
      </c>
      <c r="S101" t="str">
        <f t="shared" si="0"/>
        <v>UPI</v>
      </c>
      <c r="T101">
        <f t="shared" si="1"/>
        <v>275000</v>
      </c>
    </row>
    <row r="102" spans="1:20" x14ac:dyDescent="0.3">
      <c r="A102" s="11" t="s">
        <v>494</v>
      </c>
      <c r="B102" s="11" t="s">
        <v>145</v>
      </c>
      <c r="C102" s="11" t="s">
        <v>139</v>
      </c>
      <c r="D102" s="10">
        <v>41</v>
      </c>
      <c r="E102" s="11" t="s">
        <v>136</v>
      </c>
      <c r="F102" s="11" t="s">
        <v>96</v>
      </c>
      <c r="G102" s="11" t="s">
        <v>495</v>
      </c>
      <c r="H102" s="10">
        <v>4500</v>
      </c>
      <c r="I102" s="10">
        <v>4</v>
      </c>
      <c r="J102" s="12">
        <v>46032</v>
      </c>
      <c r="K102" s="11" t="s">
        <v>496</v>
      </c>
      <c r="L102" s="10">
        <v>500000</v>
      </c>
      <c r="M102" s="10">
        <v>7</v>
      </c>
      <c r="N102" s="10">
        <v>8.9</v>
      </c>
      <c r="O102" s="11" t="s">
        <v>489</v>
      </c>
      <c r="R102" s="11" t="s">
        <v>523</v>
      </c>
      <c r="S102" t="str">
        <f t="shared" si="0"/>
        <v>UPI</v>
      </c>
      <c r="T102">
        <f t="shared" si="1"/>
        <v>160000</v>
      </c>
    </row>
    <row r="103" spans="1:20" x14ac:dyDescent="0.3">
      <c r="A103" s="11" t="s">
        <v>497</v>
      </c>
      <c r="B103" s="11" t="s">
        <v>498</v>
      </c>
      <c r="C103" s="11" t="s">
        <v>224</v>
      </c>
      <c r="D103" s="10">
        <v>26</v>
      </c>
      <c r="E103" s="11" t="s">
        <v>141</v>
      </c>
      <c r="F103" s="11" t="s">
        <v>89</v>
      </c>
      <c r="G103" s="11" t="s">
        <v>112</v>
      </c>
      <c r="H103" s="10">
        <v>1800</v>
      </c>
      <c r="I103" s="10">
        <v>1</v>
      </c>
      <c r="J103" s="12">
        <v>46034</v>
      </c>
      <c r="K103" s="11" t="s">
        <v>488</v>
      </c>
      <c r="L103" s="10">
        <v>100000</v>
      </c>
      <c r="M103" s="10">
        <v>2</v>
      </c>
      <c r="N103" s="10">
        <v>11.5</v>
      </c>
      <c r="O103" s="11" t="s">
        <v>499</v>
      </c>
      <c r="R103" s="11" t="s">
        <v>525</v>
      </c>
      <c r="S103" t="str">
        <f t="shared" si="0"/>
        <v>Net Banking</v>
      </c>
      <c r="T103">
        <f t="shared" si="1"/>
        <v>450000</v>
      </c>
    </row>
    <row r="104" spans="1:20" x14ac:dyDescent="0.3">
      <c r="A104" s="11" t="s">
        <v>500</v>
      </c>
      <c r="B104" s="11" t="s">
        <v>151</v>
      </c>
      <c r="C104" s="11" t="s">
        <v>501</v>
      </c>
      <c r="D104" s="10">
        <v>35</v>
      </c>
      <c r="E104" s="11" t="s">
        <v>136</v>
      </c>
      <c r="F104" s="11" t="s">
        <v>89</v>
      </c>
      <c r="G104" s="11" t="s">
        <v>502</v>
      </c>
      <c r="H104" s="10">
        <v>22000</v>
      </c>
      <c r="I104" s="10">
        <v>1</v>
      </c>
      <c r="J104" s="12">
        <v>46037</v>
      </c>
      <c r="K104" s="11" t="s">
        <v>493</v>
      </c>
      <c r="L104" s="10">
        <v>250000</v>
      </c>
      <c r="M104" s="10">
        <v>4</v>
      </c>
      <c r="N104" s="10">
        <v>9.8000000000000007</v>
      </c>
      <c r="O104" s="11" t="s">
        <v>489</v>
      </c>
      <c r="R104" s="11" t="s">
        <v>528</v>
      </c>
      <c r="S104" t="str">
        <f t="shared" si="0"/>
        <v>Credit Card</v>
      </c>
      <c r="T104">
        <f t="shared" si="1"/>
        <v>80000</v>
      </c>
    </row>
    <row r="105" spans="1:20" x14ac:dyDescent="0.3">
      <c r="A105" s="11" t="s">
        <v>503</v>
      </c>
      <c r="B105" s="11" t="s">
        <v>504</v>
      </c>
      <c r="C105" s="11" t="s">
        <v>154</v>
      </c>
      <c r="D105" s="10">
        <v>29</v>
      </c>
      <c r="E105" s="11" t="s">
        <v>141</v>
      </c>
      <c r="F105" s="11" t="s">
        <v>505</v>
      </c>
      <c r="G105" s="11" t="s">
        <v>506</v>
      </c>
      <c r="H105" s="10">
        <v>3200</v>
      </c>
      <c r="I105" s="10">
        <v>3</v>
      </c>
      <c r="J105" s="12">
        <v>46040</v>
      </c>
      <c r="K105" s="11" t="s">
        <v>488</v>
      </c>
      <c r="L105" s="10">
        <v>180000</v>
      </c>
      <c r="M105" s="10">
        <v>3</v>
      </c>
      <c r="N105" s="10">
        <v>10.5</v>
      </c>
      <c r="O105" s="11" t="s">
        <v>489</v>
      </c>
      <c r="R105" s="11" t="s">
        <v>530</v>
      </c>
      <c r="S105" t="str">
        <f t="shared" si="0"/>
        <v>UPI</v>
      </c>
      <c r="T105">
        <f t="shared" si="1"/>
        <v>300000</v>
      </c>
    </row>
    <row r="106" spans="1:20" x14ac:dyDescent="0.3">
      <c r="A106" s="11" t="s">
        <v>507</v>
      </c>
      <c r="B106" s="11" t="s">
        <v>508</v>
      </c>
      <c r="C106" s="11" t="s">
        <v>172</v>
      </c>
      <c r="D106" s="10">
        <v>45</v>
      </c>
      <c r="E106" s="11" t="s">
        <v>136</v>
      </c>
      <c r="F106" s="11" t="s">
        <v>509</v>
      </c>
      <c r="G106" s="11" t="s">
        <v>510</v>
      </c>
      <c r="H106" s="10">
        <v>1200</v>
      </c>
      <c r="I106" s="10">
        <v>5</v>
      </c>
      <c r="J106" s="12">
        <v>46042</v>
      </c>
      <c r="K106" s="11" t="s">
        <v>511</v>
      </c>
      <c r="L106" s="10">
        <v>400000</v>
      </c>
      <c r="M106" s="10">
        <v>6</v>
      </c>
      <c r="N106" s="10">
        <v>9.1999999999999993</v>
      </c>
      <c r="O106" s="11" t="s">
        <v>489</v>
      </c>
      <c r="R106" t="s">
        <v>614</v>
      </c>
      <c r="S106" t="str">
        <f t="shared" si="0"/>
        <v>Credit Card</v>
      </c>
      <c r="T106">
        <f t="shared" si="1"/>
        <v>115000</v>
      </c>
    </row>
    <row r="107" spans="1:20" x14ac:dyDescent="0.3">
      <c r="A107" s="11" t="s">
        <v>512</v>
      </c>
      <c r="B107" s="11" t="s">
        <v>165</v>
      </c>
      <c r="C107" s="11" t="s">
        <v>139</v>
      </c>
      <c r="D107" s="10">
        <v>31</v>
      </c>
      <c r="E107" s="11" t="s">
        <v>141</v>
      </c>
      <c r="F107" s="11" t="s">
        <v>491</v>
      </c>
      <c r="G107" s="11" t="s">
        <v>513</v>
      </c>
      <c r="H107" s="10">
        <v>3500</v>
      </c>
      <c r="I107" s="10">
        <v>2</v>
      </c>
      <c r="J107" s="12">
        <v>46044</v>
      </c>
      <c r="K107" s="11" t="s">
        <v>488</v>
      </c>
      <c r="L107" s="10">
        <v>200000</v>
      </c>
      <c r="M107" s="10">
        <v>4</v>
      </c>
      <c r="N107" s="10">
        <v>10</v>
      </c>
      <c r="O107" s="11" t="s">
        <v>489</v>
      </c>
      <c r="R107" t="s">
        <v>530</v>
      </c>
      <c r="S107" t="str">
        <f t="shared" si="0"/>
        <v>UPI</v>
      </c>
      <c r="T107">
        <f t="shared" si="1"/>
        <v>300000</v>
      </c>
    </row>
    <row r="108" spans="1:20" x14ac:dyDescent="0.3">
      <c r="A108" s="11" t="s">
        <v>514</v>
      </c>
      <c r="B108" s="11" t="s">
        <v>515</v>
      </c>
      <c r="C108" s="11" t="s">
        <v>168</v>
      </c>
      <c r="D108" s="10">
        <v>38</v>
      </c>
      <c r="E108" s="11" t="s">
        <v>136</v>
      </c>
      <c r="F108" s="11" t="s">
        <v>89</v>
      </c>
      <c r="G108" s="11" t="s">
        <v>516</v>
      </c>
      <c r="H108" s="10">
        <v>18000</v>
      </c>
      <c r="I108" s="10">
        <v>1</v>
      </c>
      <c r="J108" s="12">
        <v>46047</v>
      </c>
      <c r="K108" s="11" t="s">
        <v>496</v>
      </c>
      <c r="L108" s="10">
        <v>350000</v>
      </c>
      <c r="M108" s="10">
        <v>5</v>
      </c>
      <c r="N108" s="10">
        <v>9.6999999999999993</v>
      </c>
      <c r="O108" s="11" t="s">
        <v>489</v>
      </c>
      <c r="R108" t="s">
        <v>523</v>
      </c>
      <c r="S108" t="str">
        <f t="shared" si="0"/>
        <v>UPI</v>
      </c>
      <c r="T108">
        <f t="shared" si="1"/>
        <v>160000</v>
      </c>
    </row>
    <row r="109" spans="1:20" x14ac:dyDescent="0.3">
      <c r="A109" s="11" t="s">
        <v>517</v>
      </c>
      <c r="B109" s="11" t="s">
        <v>518</v>
      </c>
      <c r="C109" s="11" t="s">
        <v>150</v>
      </c>
      <c r="D109" s="10">
        <v>27</v>
      </c>
      <c r="E109" s="11" t="s">
        <v>141</v>
      </c>
      <c r="F109" s="11" t="s">
        <v>519</v>
      </c>
      <c r="G109" s="11" t="s">
        <v>520</v>
      </c>
      <c r="H109" s="10">
        <v>4500</v>
      </c>
      <c r="I109" s="10">
        <v>1</v>
      </c>
      <c r="J109" s="12">
        <v>46050</v>
      </c>
      <c r="K109" s="11" t="s">
        <v>493</v>
      </c>
      <c r="L109" s="10">
        <v>120000</v>
      </c>
      <c r="M109" s="10">
        <v>2</v>
      </c>
      <c r="N109" s="10">
        <v>11.2</v>
      </c>
      <c r="O109" s="11" t="s">
        <v>499</v>
      </c>
      <c r="R109" t="s">
        <v>521</v>
      </c>
      <c r="S109" t="str">
        <f t="shared" si="0"/>
        <v>UPI</v>
      </c>
      <c r="T109">
        <f t="shared" si="1"/>
        <v>275000</v>
      </c>
    </row>
    <row r="110" spans="1:20" x14ac:dyDescent="0.3">
      <c r="A110" s="11" t="s">
        <v>521</v>
      </c>
      <c r="B110" s="11" t="s">
        <v>522</v>
      </c>
      <c r="C110" s="11" t="s">
        <v>139</v>
      </c>
      <c r="D110" s="10">
        <v>33</v>
      </c>
      <c r="E110" s="11" t="s">
        <v>136</v>
      </c>
      <c r="F110" s="11" t="s">
        <v>89</v>
      </c>
      <c r="G110" s="11" t="s">
        <v>107</v>
      </c>
      <c r="H110" s="10">
        <v>15000</v>
      </c>
      <c r="I110" s="10">
        <v>2</v>
      </c>
      <c r="J110" s="12">
        <v>46055</v>
      </c>
      <c r="K110" s="11" t="s">
        <v>488</v>
      </c>
      <c r="L110" s="10">
        <v>275000</v>
      </c>
      <c r="M110" s="10">
        <v>5</v>
      </c>
      <c r="N110" s="10">
        <v>9.6</v>
      </c>
      <c r="O110" s="11" t="s">
        <v>489</v>
      </c>
      <c r="R110" t="s">
        <v>528</v>
      </c>
      <c r="S110" t="str">
        <f t="shared" si="0"/>
        <v>Credit Card</v>
      </c>
      <c r="T110">
        <f t="shared" si="1"/>
        <v>80000</v>
      </c>
    </row>
    <row r="111" spans="1:20" x14ac:dyDescent="0.3">
      <c r="A111" s="11" t="s">
        <v>523</v>
      </c>
      <c r="B111" s="11" t="s">
        <v>184</v>
      </c>
      <c r="C111" s="11" t="s">
        <v>185</v>
      </c>
      <c r="D111" s="10">
        <v>30</v>
      </c>
      <c r="E111" s="11" t="s">
        <v>141</v>
      </c>
      <c r="F111" s="11" t="s">
        <v>491</v>
      </c>
      <c r="G111" s="11" t="s">
        <v>524</v>
      </c>
      <c r="H111" s="10">
        <v>2800</v>
      </c>
      <c r="I111" s="10">
        <v>2</v>
      </c>
      <c r="J111" s="12">
        <v>46057</v>
      </c>
      <c r="K111" s="11" t="s">
        <v>488</v>
      </c>
      <c r="L111" s="10">
        <v>160000</v>
      </c>
      <c r="M111" s="10">
        <v>3</v>
      </c>
      <c r="N111" s="10">
        <v>10.4</v>
      </c>
      <c r="O111" s="11" t="s">
        <v>489</v>
      </c>
    </row>
    <row r="112" spans="1:20" x14ac:dyDescent="0.3">
      <c r="A112" s="11" t="s">
        <v>525</v>
      </c>
      <c r="B112" s="11" t="s">
        <v>526</v>
      </c>
      <c r="C112" s="11" t="s">
        <v>172</v>
      </c>
      <c r="D112" s="10">
        <v>42</v>
      </c>
      <c r="E112" s="11" t="s">
        <v>136</v>
      </c>
      <c r="F112" s="11" t="s">
        <v>96</v>
      </c>
      <c r="G112" s="11" t="s">
        <v>527</v>
      </c>
      <c r="H112" s="10">
        <v>12000</v>
      </c>
      <c r="I112" s="10">
        <v>1</v>
      </c>
      <c r="J112" s="12">
        <v>46059</v>
      </c>
      <c r="K112" s="11" t="s">
        <v>496</v>
      </c>
      <c r="L112" s="10">
        <v>450000</v>
      </c>
      <c r="M112" s="10">
        <v>7</v>
      </c>
      <c r="N112" s="10">
        <v>8.8000000000000007</v>
      </c>
      <c r="O112" s="11" t="s">
        <v>489</v>
      </c>
      <c r="R112" s="17" t="s">
        <v>639</v>
      </c>
    </row>
    <row r="113" spans="1:19" x14ac:dyDescent="0.3">
      <c r="A113" s="11" t="s">
        <v>528</v>
      </c>
      <c r="B113" s="11" t="s">
        <v>177</v>
      </c>
      <c r="C113" s="11" t="s">
        <v>139</v>
      </c>
      <c r="D113" s="10">
        <v>24</v>
      </c>
      <c r="E113" s="11" t="s">
        <v>141</v>
      </c>
      <c r="F113" s="11" t="s">
        <v>505</v>
      </c>
      <c r="G113" s="11" t="s">
        <v>529</v>
      </c>
      <c r="H113" s="10">
        <v>2200</v>
      </c>
      <c r="I113" s="10">
        <v>2</v>
      </c>
      <c r="J113" s="12">
        <v>46061</v>
      </c>
      <c r="K113" s="11" t="s">
        <v>493</v>
      </c>
      <c r="L113" s="10">
        <v>80000</v>
      </c>
      <c r="M113" s="10">
        <v>2</v>
      </c>
      <c r="N113" s="10">
        <v>12</v>
      </c>
      <c r="O113" s="11" t="s">
        <v>499</v>
      </c>
      <c r="R113" s="17" t="s">
        <v>635</v>
      </c>
      <c r="S113" s="17"/>
    </row>
    <row r="114" spans="1:19" x14ac:dyDescent="0.3">
      <c r="A114" s="11" t="s">
        <v>530</v>
      </c>
      <c r="B114" s="11" t="s">
        <v>531</v>
      </c>
      <c r="C114" s="11" t="s">
        <v>192</v>
      </c>
      <c r="D114" s="10">
        <v>39</v>
      </c>
      <c r="E114" s="11" t="s">
        <v>136</v>
      </c>
      <c r="F114" s="11" t="s">
        <v>89</v>
      </c>
      <c r="G114" s="11" t="s">
        <v>532</v>
      </c>
      <c r="H114" s="10">
        <v>32000</v>
      </c>
      <c r="I114" s="10">
        <v>1</v>
      </c>
      <c r="J114" s="12">
        <v>46063</v>
      </c>
      <c r="K114" s="11" t="s">
        <v>488</v>
      </c>
      <c r="L114" s="10">
        <v>300000</v>
      </c>
      <c r="M114" s="10">
        <v>5</v>
      </c>
      <c r="N114" s="10">
        <v>9.9</v>
      </c>
      <c r="O114" s="11" t="s">
        <v>489</v>
      </c>
      <c r="R114" s="17">
        <f>VLOOKUP("Amit*",B99:O149,3,FALSE)</f>
        <v>41</v>
      </c>
      <c r="S114" s="17" t="s">
        <v>636</v>
      </c>
    </row>
    <row r="115" spans="1:19" x14ac:dyDescent="0.3">
      <c r="A115" s="11" t="s">
        <v>533</v>
      </c>
      <c r="B115" s="11" t="s">
        <v>534</v>
      </c>
      <c r="C115" s="11" t="s">
        <v>176</v>
      </c>
      <c r="D115" s="10">
        <v>28</v>
      </c>
      <c r="E115" s="11" t="s">
        <v>141</v>
      </c>
      <c r="F115" s="11" t="s">
        <v>509</v>
      </c>
      <c r="G115" s="11" t="s">
        <v>535</v>
      </c>
      <c r="H115" s="10">
        <v>850</v>
      </c>
      <c r="I115" s="10">
        <v>4</v>
      </c>
      <c r="J115" s="12">
        <v>46065</v>
      </c>
      <c r="K115" s="11" t="s">
        <v>488</v>
      </c>
      <c r="L115" s="10">
        <v>175000</v>
      </c>
      <c r="M115" s="10">
        <v>3</v>
      </c>
      <c r="N115" s="10">
        <v>10.1</v>
      </c>
      <c r="O115" s="11" t="s">
        <v>489</v>
      </c>
    </row>
    <row r="116" spans="1:19" x14ac:dyDescent="0.3">
      <c r="A116" s="11" t="s">
        <v>536</v>
      </c>
      <c r="B116" s="11" t="s">
        <v>537</v>
      </c>
      <c r="C116" s="11" t="s">
        <v>224</v>
      </c>
      <c r="D116" s="10">
        <v>36</v>
      </c>
      <c r="E116" s="11" t="s">
        <v>136</v>
      </c>
      <c r="F116" s="11" t="s">
        <v>96</v>
      </c>
      <c r="G116" s="11" t="s">
        <v>538</v>
      </c>
      <c r="H116" s="10">
        <v>28000</v>
      </c>
      <c r="I116" s="10">
        <v>1</v>
      </c>
      <c r="J116" s="12">
        <v>46068</v>
      </c>
      <c r="K116" s="11" t="s">
        <v>493</v>
      </c>
      <c r="L116" s="10">
        <v>550000</v>
      </c>
      <c r="M116" s="10">
        <v>8</v>
      </c>
      <c r="N116" s="10">
        <v>8.6999999999999993</v>
      </c>
      <c r="O116" s="11" t="s">
        <v>489</v>
      </c>
      <c r="R116" t="s">
        <v>637</v>
      </c>
    </row>
    <row r="117" spans="1:19" x14ac:dyDescent="0.3">
      <c r="A117" s="11" t="s">
        <v>539</v>
      </c>
      <c r="B117" s="11" t="s">
        <v>169</v>
      </c>
      <c r="C117" s="11" t="s">
        <v>154</v>
      </c>
      <c r="D117" s="10">
        <v>44</v>
      </c>
      <c r="E117" s="11" t="s">
        <v>141</v>
      </c>
      <c r="F117" s="11" t="s">
        <v>491</v>
      </c>
      <c r="G117" s="11" t="s">
        <v>540</v>
      </c>
      <c r="H117" s="10">
        <v>4200</v>
      </c>
      <c r="I117" s="10">
        <v>2</v>
      </c>
      <c r="J117" s="12">
        <v>46070</v>
      </c>
      <c r="K117" s="11" t="s">
        <v>496</v>
      </c>
      <c r="L117" s="10">
        <v>225000</v>
      </c>
      <c r="M117" s="10">
        <v>5</v>
      </c>
      <c r="N117" s="10">
        <v>9.8000000000000007</v>
      </c>
      <c r="O117" s="11" t="s">
        <v>489</v>
      </c>
      <c r="R117">
        <f>VLOOKUP("R*",B99:O149,7,FALSE)</f>
        <v>55000</v>
      </c>
    </row>
    <row r="118" spans="1:19" x14ac:dyDescent="0.3">
      <c r="A118" s="11" t="s">
        <v>541</v>
      </c>
      <c r="B118" s="11" t="s">
        <v>193</v>
      </c>
      <c r="C118" s="11" t="s">
        <v>139</v>
      </c>
      <c r="D118" s="10">
        <v>51</v>
      </c>
      <c r="E118" s="11" t="s">
        <v>136</v>
      </c>
      <c r="F118" s="11" t="s">
        <v>89</v>
      </c>
      <c r="G118" s="11" t="s">
        <v>542</v>
      </c>
      <c r="H118" s="10">
        <v>45000</v>
      </c>
      <c r="I118" s="10">
        <v>1</v>
      </c>
      <c r="J118" s="12">
        <v>46073</v>
      </c>
      <c r="K118" s="11" t="s">
        <v>488</v>
      </c>
      <c r="L118" s="10">
        <v>600000</v>
      </c>
      <c r="M118" s="10">
        <v>10</v>
      </c>
      <c r="N118" s="10">
        <v>8.5</v>
      </c>
      <c r="O118" s="11" t="s">
        <v>489</v>
      </c>
    </row>
    <row r="119" spans="1:19" x14ac:dyDescent="0.3">
      <c r="A119" s="11" t="s">
        <v>543</v>
      </c>
      <c r="B119" s="11" t="s">
        <v>544</v>
      </c>
      <c r="C119" s="11" t="s">
        <v>144</v>
      </c>
      <c r="D119" s="10">
        <v>25</v>
      </c>
      <c r="E119" s="11" t="s">
        <v>141</v>
      </c>
      <c r="F119" s="11" t="s">
        <v>519</v>
      </c>
      <c r="G119" s="11" t="s">
        <v>545</v>
      </c>
      <c r="H119" s="10">
        <v>3800</v>
      </c>
      <c r="I119" s="10">
        <v>3</v>
      </c>
      <c r="J119" s="12">
        <v>46075</v>
      </c>
      <c r="K119" s="11" t="s">
        <v>493</v>
      </c>
      <c r="L119" s="10">
        <v>90000</v>
      </c>
      <c r="M119" s="10">
        <v>2</v>
      </c>
      <c r="N119" s="10">
        <v>11.8</v>
      </c>
      <c r="O119" s="11" t="s">
        <v>499</v>
      </c>
      <c r="R119" s="17" t="s">
        <v>638</v>
      </c>
    </row>
    <row r="120" spans="1:19" x14ac:dyDescent="0.3">
      <c r="A120" s="11" t="s">
        <v>546</v>
      </c>
      <c r="B120" s="11" t="s">
        <v>547</v>
      </c>
      <c r="C120" s="11" t="s">
        <v>501</v>
      </c>
      <c r="D120" s="10">
        <v>34</v>
      </c>
      <c r="E120" s="11" t="s">
        <v>136</v>
      </c>
      <c r="F120" s="11" t="s">
        <v>89</v>
      </c>
      <c r="G120" s="11" t="s">
        <v>92</v>
      </c>
      <c r="H120" s="10">
        <v>2500</v>
      </c>
      <c r="I120" s="10">
        <v>2</v>
      </c>
      <c r="J120" s="12">
        <v>46078</v>
      </c>
      <c r="K120" s="11" t="s">
        <v>488</v>
      </c>
      <c r="L120" s="10">
        <v>240000</v>
      </c>
      <c r="M120" s="10">
        <v>4</v>
      </c>
      <c r="N120" s="10">
        <v>10</v>
      </c>
      <c r="O120" s="11" t="s">
        <v>489</v>
      </c>
      <c r="R120" s="17" t="s">
        <v>635</v>
      </c>
      <c r="S120" s="17"/>
    </row>
    <row r="121" spans="1:19" x14ac:dyDescent="0.3">
      <c r="A121" s="11" t="s">
        <v>548</v>
      </c>
      <c r="B121" s="11" t="s">
        <v>198</v>
      </c>
      <c r="C121" s="11" t="s">
        <v>160</v>
      </c>
      <c r="D121" s="10">
        <v>29</v>
      </c>
      <c r="E121" s="11" t="s">
        <v>141</v>
      </c>
      <c r="F121" s="11" t="s">
        <v>491</v>
      </c>
      <c r="G121" s="11" t="s">
        <v>549</v>
      </c>
      <c r="H121" s="10">
        <v>2200</v>
      </c>
      <c r="I121" s="10">
        <v>2</v>
      </c>
      <c r="J121" s="12">
        <v>46080</v>
      </c>
      <c r="K121" s="11" t="s">
        <v>511</v>
      </c>
      <c r="L121" s="10">
        <v>130000</v>
      </c>
      <c r="M121" s="10">
        <v>3</v>
      </c>
      <c r="N121" s="10">
        <v>10.6</v>
      </c>
      <c r="O121" s="11" t="s">
        <v>489</v>
      </c>
      <c r="R121" s="17">
        <f>VLOOKUP("A?i*",B99:O149,3,FALSE)</f>
        <v>41</v>
      </c>
      <c r="S121" s="17" t="s">
        <v>636</v>
      </c>
    </row>
    <row r="122" spans="1:19" ht="16.8" x14ac:dyDescent="0.4">
      <c r="A122" s="11" t="s">
        <v>550</v>
      </c>
      <c r="B122" s="11" t="s">
        <v>551</v>
      </c>
      <c r="C122" s="11" t="s">
        <v>139</v>
      </c>
      <c r="D122" s="10">
        <v>47</v>
      </c>
      <c r="E122" s="11" t="s">
        <v>136</v>
      </c>
      <c r="F122" s="11" t="s">
        <v>96</v>
      </c>
      <c r="G122" s="11" t="s">
        <v>552</v>
      </c>
      <c r="H122" s="10">
        <v>35000</v>
      </c>
      <c r="I122" s="10">
        <v>1</v>
      </c>
      <c r="J122" s="12">
        <v>46082</v>
      </c>
      <c r="K122" s="11" t="s">
        <v>496</v>
      </c>
      <c r="L122" s="10">
        <v>500000</v>
      </c>
      <c r="M122" s="10">
        <v>7</v>
      </c>
      <c r="N122" s="10">
        <v>9</v>
      </c>
      <c r="O122" s="11" t="s">
        <v>489</v>
      </c>
      <c r="R122" s="3"/>
    </row>
    <row r="123" spans="1:19" x14ac:dyDescent="0.3">
      <c r="A123" s="11" t="s">
        <v>553</v>
      </c>
      <c r="B123" s="11" t="s">
        <v>554</v>
      </c>
      <c r="C123" s="11" t="s">
        <v>224</v>
      </c>
      <c r="D123" s="10">
        <v>23</v>
      </c>
      <c r="E123" s="11" t="s">
        <v>141</v>
      </c>
      <c r="F123" s="11" t="s">
        <v>505</v>
      </c>
      <c r="G123" s="11" t="s">
        <v>555</v>
      </c>
      <c r="H123" s="10">
        <v>2900</v>
      </c>
      <c r="I123" s="10">
        <v>2</v>
      </c>
      <c r="J123" s="12">
        <v>46084</v>
      </c>
      <c r="K123" s="11" t="s">
        <v>488</v>
      </c>
      <c r="L123" s="10">
        <v>70000</v>
      </c>
      <c r="M123" s="10">
        <v>2</v>
      </c>
      <c r="N123" s="10">
        <v>12.5</v>
      </c>
      <c r="O123" s="11" t="s">
        <v>499</v>
      </c>
    </row>
    <row r="124" spans="1:19" x14ac:dyDescent="0.3">
      <c r="A124" s="11" t="s">
        <v>556</v>
      </c>
      <c r="B124" s="11" t="s">
        <v>557</v>
      </c>
      <c r="C124" s="11" t="s">
        <v>172</v>
      </c>
      <c r="D124" s="10">
        <v>37</v>
      </c>
      <c r="E124" s="11" t="s">
        <v>136</v>
      </c>
      <c r="F124" s="11" t="s">
        <v>89</v>
      </c>
      <c r="G124" s="11" t="s">
        <v>558</v>
      </c>
      <c r="H124" s="10">
        <v>6500</v>
      </c>
      <c r="I124" s="10">
        <v>1</v>
      </c>
      <c r="J124" s="12">
        <v>46086</v>
      </c>
      <c r="K124" s="11" t="s">
        <v>493</v>
      </c>
      <c r="L124" s="10">
        <v>280000</v>
      </c>
      <c r="M124" s="10">
        <v>5</v>
      </c>
      <c r="N124" s="10">
        <v>9.4</v>
      </c>
      <c r="O124" s="11" t="s">
        <v>489</v>
      </c>
    </row>
    <row r="125" spans="1:19" x14ac:dyDescent="0.3">
      <c r="A125" s="11" t="s">
        <v>559</v>
      </c>
      <c r="B125" s="11" t="s">
        <v>560</v>
      </c>
      <c r="C125" s="11" t="s">
        <v>189</v>
      </c>
      <c r="D125" s="10">
        <v>33</v>
      </c>
      <c r="E125" s="11" t="s">
        <v>141</v>
      </c>
      <c r="F125" s="11" t="s">
        <v>509</v>
      </c>
      <c r="G125" s="11" t="s">
        <v>561</v>
      </c>
      <c r="H125" s="10">
        <v>1800</v>
      </c>
      <c r="I125" s="10">
        <v>3</v>
      </c>
      <c r="J125" s="12">
        <v>46088</v>
      </c>
      <c r="K125" s="11" t="s">
        <v>488</v>
      </c>
      <c r="L125" s="10">
        <v>190000</v>
      </c>
      <c r="M125" s="10">
        <v>4</v>
      </c>
      <c r="N125" s="10">
        <v>10.3</v>
      </c>
      <c r="O125" s="11" t="s">
        <v>489</v>
      </c>
    </row>
    <row r="126" spans="1:19" x14ac:dyDescent="0.3">
      <c r="A126" s="11" t="s">
        <v>562</v>
      </c>
      <c r="B126" s="11" t="s">
        <v>563</v>
      </c>
      <c r="C126" s="11" t="s">
        <v>192</v>
      </c>
      <c r="D126" s="10">
        <v>40</v>
      </c>
      <c r="E126" s="11" t="s">
        <v>136</v>
      </c>
      <c r="F126" s="11" t="s">
        <v>89</v>
      </c>
      <c r="G126" s="11" t="s">
        <v>564</v>
      </c>
      <c r="H126" s="10">
        <v>42000</v>
      </c>
      <c r="I126" s="10">
        <v>1</v>
      </c>
      <c r="J126" s="12">
        <v>46091</v>
      </c>
      <c r="K126" s="11" t="s">
        <v>496</v>
      </c>
      <c r="L126" s="10">
        <v>450000</v>
      </c>
      <c r="M126" s="10">
        <v>7</v>
      </c>
      <c r="N126" s="10">
        <v>8.9</v>
      </c>
      <c r="O126" s="11" t="s">
        <v>489</v>
      </c>
    </row>
    <row r="127" spans="1:19" x14ac:dyDescent="0.3">
      <c r="A127" s="11" t="s">
        <v>565</v>
      </c>
      <c r="B127" s="11" t="s">
        <v>566</v>
      </c>
      <c r="C127" s="11" t="s">
        <v>139</v>
      </c>
      <c r="D127" s="10">
        <v>27</v>
      </c>
      <c r="E127" s="11" t="s">
        <v>141</v>
      </c>
      <c r="F127" s="11" t="s">
        <v>491</v>
      </c>
      <c r="G127" s="11" t="s">
        <v>567</v>
      </c>
      <c r="H127" s="10">
        <v>3200</v>
      </c>
      <c r="I127" s="10">
        <v>2</v>
      </c>
      <c r="J127" s="12">
        <v>46093</v>
      </c>
      <c r="K127" s="11" t="s">
        <v>488</v>
      </c>
      <c r="L127" s="10">
        <v>110000</v>
      </c>
      <c r="M127" s="10">
        <v>2</v>
      </c>
      <c r="N127" s="10">
        <v>11</v>
      </c>
      <c r="O127" s="11" t="s">
        <v>489</v>
      </c>
    </row>
    <row r="128" spans="1:19" x14ac:dyDescent="0.3">
      <c r="A128" s="11" t="s">
        <v>568</v>
      </c>
      <c r="B128" s="11" t="s">
        <v>569</v>
      </c>
      <c r="C128" s="11" t="s">
        <v>150</v>
      </c>
      <c r="D128" s="10">
        <v>46</v>
      </c>
      <c r="E128" s="11" t="s">
        <v>136</v>
      </c>
      <c r="F128" s="11" t="s">
        <v>96</v>
      </c>
      <c r="G128" s="11" t="s">
        <v>570</v>
      </c>
      <c r="H128" s="10">
        <v>25000</v>
      </c>
      <c r="I128" s="10">
        <v>1</v>
      </c>
      <c r="J128" s="12">
        <v>46096</v>
      </c>
      <c r="K128" s="11" t="s">
        <v>493</v>
      </c>
      <c r="L128" s="10">
        <v>525000</v>
      </c>
      <c r="M128" s="10">
        <v>8</v>
      </c>
      <c r="N128" s="10">
        <v>8.6</v>
      </c>
      <c r="O128" s="11" t="s">
        <v>489</v>
      </c>
    </row>
    <row r="129" spans="1:15" x14ac:dyDescent="0.3">
      <c r="A129" s="11" t="s">
        <v>571</v>
      </c>
      <c r="B129" s="11" t="s">
        <v>572</v>
      </c>
      <c r="C129" s="11" t="s">
        <v>168</v>
      </c>
      <c r="D129" s="10">
        <v>31</v>
      </c>
      <c r="E129" s="11" t="s">
        <v>141</v>
      </c>
      <c r="F129" s="11" t="s">
        <v>505</v>
      </c>
      <c r="G129" s="11" t="s">
        <v>573</v>
      </c>
      <c r="H129" s="10">
        <v>950</v>
      </c>
      <c r="I129" s="10">
        <v>4</v>
      </c>
      <c r="J129" s="12">
        <v>46098</v>
      </c>
      <c r="K129" s="11" t="s">
        <v>488</v>
      </c>
      <c r="L129" s="10">
        <v>145000</v>
      </c>
      <c r="M129" s="10">
        <v>3</v>
      </c>
      <c r="N129" s="10">
        <v>10.8</v>
      </c>
      <c r="O129" s="11" t="s">
        <v>489</v>
      </c>
    </row>
    <row r="130" spans="1:15" x14ac:dyDescent="0.3">
      <c r="A130" s="11" t="s">
        <v>574</v>
      </c>
      <c r="B130" s="11" t="s">
        <v>575</v>
      </c>
      <c r="C130" s="11" t="s">
        <v>576</v>
      </c>
      <c r="D130" s="10">
        <v>35</v>
      </c>
      <c r="E130" s="11" t="s">
        <v>136</v>
      </c>
      <c r="F130" s="11" t="s">
        <v>89</v>
      </c>
      <c r="G130" s="11" t="s">
        <v>104</v>
      </c>
      <c r="H130" s="10">
        <v>12500</v>
      </c>
      <c r="I130" s="10">
        <v>1</v>
      </c>
      <c r="J130" s="12">
        <v>46101</v>
      </c>
      <c r="K130" s="11" t="s">
        <v>496</v>
      </c>
      <c r="L130" s="10">
        <v>260000</v>
      </c>
      <c r="M130" s="10">
        <v>5</v>
      </c>
      <c r="N130" s="10">
        <v>9.6999999999999993</v>
      </c>
      <c r="O130" s="11" t="s">
        <v>489</v>
      </c>
    </row>
    <row r="131" spans="1:15" x14ac:dyDescent="0.3">
      <c r="A131" s="11" t="s">
        <v>577</v>
      </c>
      <c r="B131" s="11" t="s">
        <v>578</v>
      </c>
      <c r="C131" s="11" t="s">
        <v>139</v>
      </c>
      <c r="D131" s="10">
        <v>26</v>
      </c>
      <c r="E131" s="11" t="s">
        <v>141</v>
      </c>
      <c r="F131" s="11" t="s">
        <v>491</v>
      </c>
      <c r="G131" s="11" t="s">
        <v>579</v>
      </c>
      <c r="H131" s="10">
        <v>1200</v>
      </c>
      <c r="I131" s="10">
        <v>3</v>
      </c>
      <c r="J131" s="12">
        <v>46103</v>
      </c>
      <c r="K131" s="11" t="s">
        <v>488</v>
      </c>
      <c r="L131" s="10">
        <v>95000</v>
      </c>
      <c r="M131" s="10">
        <v>2</v>
      </c>
      <c r="N131" s="10">
        <v>11.4</v>
      </c>
      <c r="O131" s="11" t="s">
        <v>499</v>
      </c>
    </row>
    <row r="132" spans="1:15" x14ac:dyDescent="0.3">
      <c r="A132" s="11" t="s">
        <v>580</v>
      </c>
      <c r="B132" s="11" t="s">
        <v>581</v>
      </c>
      <c r="C132" s="11" t="s">
        <v>185</v>
      </c>
      <c r="D132" s="10">
        <v>43</v>
      </c>
      <c r="E132" s="11" t="s">
        <v>136</v>
      </c>
      <c r="F132" s="11" t="s">
        <v>509</v>
      </c>
      <c r="G132" s="11" t="s">
        <v>582</v>
      </c>
      <c r="H132" s="10">
        <v>1600</v>
      </c>
      <c r="I132" s="10">
        <v>5</v>
      </c>
      <c r="J132" s="12">
        <v>46105</v>
      </c>
      <c r="K132" s="11" t="s">
        <v>511</v>
      </c>
      <c r="L132" s="10">
        <v>375000</v>
      </c>
      <c r="M132" s="10">
        <v>6</v>
      </c>
      <c r="N132" s="10">
        <v>9.1</v>
      </c>
      <c r="O132" s="11" t="s">
        <v>489</v>
      </c>
    </row>
    <row r="133" spans="1:15" x14ac:dyDescent="0.3">
      <c r="A133" s="11" t="s">
        <v>583</v>
      </c>
      <c r="B133" s="11" t="s">
        <v>584</v>
      </c>
      <c r="C133" s="11" t="s">
        <v>224</v>
      </c>
      <c r="D133" s="10">
        <v>30</v>
      </c>
      <c r="E133" s="11" t="s">
        <v>141</v>
      </c>
      <c r="F133" s="11" t="s">
        <v>519</v>
      </c>
      <c r="G133" s="11" t="s">
        <v>585</v>
      </c>
      <c r="H133" s="10">
        <v>8500</v>
      </c>
      <c r="I133" s="10">
        <v>1</v>
      </c>
      <c r="J133" s="12">
        <v>46107</v>
      </c>
      <c r="K133" s="11" t="s">
        <v>493</v>
      </c>
      <c r="L133" s="10">
        <v>210000</v>
      </c>
      <c r="M133" s="10">
        <v>4</v>
      </c>
      <c r="N133" s="10">
        <v>10</v>
      </c>
      <c r="O133" s="11" t="s">
        <v>489</v>
      </c>
    </row>
    <row r="134" spans="1:15" x14ac:dyDescent="0.3">
      <c r="A134" s="11" t="s">
        <v>586</v>
      </c>
      <c r="B134" s="11" t="s">
        <v>587</v>
      </c>
      <c r="C134" s="11" t="s">
        <v>139</v>
      </c>
      <c r="D134" s="10">
        <v>49</v>
      </c>
      <c r="E134" s="11" t="s">
        <v>136</v>
      </c>
      <c r="F134" s="11" t="s">
        <v>89</v>
      </c>
      <c r="G134" s="11" t="s">
        <v>588</v>
      </c>
      <c r="H134" s="10">
        <v>30000</v>
      </c>
      <c r="I134" s="10">
        <v>1</v>
      </c>
      <c r="J134" s="12">
        <v>46109</v>
      </c>
      <c r="K134" s="11" t="s">
        <v>488</v>
      </c>
      <c r="L134" s="10">
        <v>650000</v>
      </c>
      <c r="M134" s="10">
        <v>10</v>
      </c>
      <c r="N134" s="10">
        <v>8.4</v>
      </c>
      <c r="O134" s="11" t="s">
        <v>489</v>
      </c>
    </row>
    <row r="135" spans="1:15" x14ac:dyDescent="0.3">
      <c r="A135" s="11" t="s">
        <v>589</v>
      </c>
      <c r="B135" s="11" t="s">
        <v>590</v>
      </c>
      <c r="C135" s="11" t="s">
        <v>172</v>
      </c>
      <c r="D135" s="10">
        <v>28</v>
      </c>
      <c r="E135" s="11" t="s">
        <v>141</v>
      </c>
      <c r="F135" s="11" t="s">
        <v>491</v>
      </c>
      <c r="G135" s="11" t="s">
        <v>591</v>
      </c>
      <c r="H135" s="10">
        <v>4500</v>
      </c>
      <c r="I135" s="10">
        <v>1</v>
      </c>
      <c r="J135" s="12">
        <v>46111</v>
      </c>
      <c r="K135" s="11" t="s">
        <v>488</v>
      </c>
      <c r="L135" s="10">
        <v>125000</v>
      </c>
      <c r="M135" s="10">
        <v>3</v>
      </c>
      <c r="N135" s="10">
        <v>10.7</v>
      </c>
      <c r="O135" s="11" t="s">
        <v>489</v>
      </c>
    </row>
    <row r="136" spans="1:15" x14ac:dyDescent="0.3">
      <c r="A136" s="11" t="s">
        <v>592</v>
      </c>
      <c r="B136" s="11" t="s">
        <v>593</v>
      </c>
      <c r="C136" s="11" t="s">
        <v>501</v>
      </c>
      <c r="D136" s="10">
        <v>52</v>
      </c>
      <c r="E136" s="11" t="s">
        <v>136</v>
      </c>
      <c r="F136" s="11" t="s">
        <v>96</v>
      </c>
      <c r="G136" s="11" t="s">
        <v>594</v>
      </c>
      <c r="H136" s="10">
        <v>32000</v>
      </c>
      <c r="I136" s="10">
        <v>1</v>
      </c>
      <c r="J136" s="12">
        <v>46114</v>
      </c>
      <c r="K136" s="11" t="s">
        <v>496</v>
      </c>
      <c r="L136" s="10">
        <v>700000</v>
      </c>
      <c r="M136" s="10">
        <v>10</v>
      </c>
      <c r="N136" s="10">
        <v>8.3000000000000007</v>
      </c>
      <c r="O136" s="11" t="s">
        <v>489</v>
      </c>
    </row>
    <row r="137" spans="1:15" x14ac:dyDescent="0.3">
      <c r="A137" s="11" t="s">
        <v>595</v>
      </c>
      <c r="B137" s="11" t="s">
        <v>596</v>
      </c>
      <c r="C137" s="11" t="s">
        <v>576</v>
      </c>
      <c r="D137" s="10">
        <v>25</v>
      </c>
      <c r="E137" s="11" t="s">
        <v>141</v>
      </c>
      <c r="F137" s="11" t="s">
        <v>505</v>
      </c>
      <c r="G137" s="11" t="s">
        <v>597</v>
      </c>
      <c r="H137" s="10">
        <v>750</v>
      </c>
      <c r="I137" s="10">
        <v>5</v>
      </c>
      <c r="J137" s="12">
        <v>46116</v>
      </c>
      <c r="K137" s="11" t="s">
        <v>493</v>
      </c>
      <c r="L137" s="10">
        <v>60000</v>
      </c>
      <c r="M137" s="10">
        <v>2</v>
      </c>
      <c r="N137" s="10">
        <v>12.8</v>
      </c>
      <c r="O137" s="11" t="s">
        <v>499</v>
      </c>
    </row>
    <row r="138" spans="1:15" x14ac:dyDescent="0.3">
      <c r="A138" s="11" t="s">
        <v>598</v>
      </c>
      <c r="B138" s="11" t="s">
        <v>599</v>
      </c>
      <c r="C138" s="11" t="s">
        <v>192</v>
      </c>
      <c r="D138" s="10">
        <v>36</v>
      </c>
      <c r="E138" s="11" t="s">
        <v>136</v>
      </c>
      <c r="F138" s="11" t="s">
        <v>89</v>
      </c>
      <c r="G138" s="11" t="s">
        <v>600</v>
      </c>
      <c r="H138" s="10">
        <v>38000</v>
      </c>
      <c r="I138" s="10">
        <v>1</v>
      </c>
      <c r="J138" s="12">
        <v>46118</v>
      </c>
      <c r="K138" s="11" t="s">
        <v>488</v>
      </c>
      <c r="L138" s="10">
        <v>325000</v>
      </c>
      <c r="M138" s="10">
        <v>5</v>
      </c>
      <c r="N138" s="10">
        <v>9.5</v>
      </c>
      <c r="O138" s="11" t="s">
        <v>489</v>
      </c>
    </row>
    <row r="139" spans="1:15" x14ac:dyDescent="0.3">
      <c r="A139" s="11" t="s">
        <v>601</v>
      </c>
      <c r="B139" s="11" t="s">
        <v>602</v>
      </c>
      <c r="C139" s="11" t="s">
        <v>154</v>
      </c>
      <c r="D139" s="10">
        <v>32</v>
      </c>
      <c r="E139" s="11" t="s">
        <v>141</v>
      </c>
      <c r="F139" s="11" t="s">
        <v>509</v>
      </c>
      <c r="G139" s="11" t="s">
        <v>603</v>
      </c>
      <c r="H139" s="10">
        <v>650</v>
      </c>
      <c r="I139" s="10">
        <v>6</v>
      </c>
      <c r="J139" s="12">
        <v>46120</v>
      </c>
      <c r="K139" s="11" t="s">
        <v>488</v>
      </c>
      <c r="L139" s="10">
        <v>155000</v>
      </c>
      <c r="M139" s="10">
        <v>3</v>
      </c>
      <c r="N139" s="10">
        <v>10.199999999999999</v>
      </c>
      <c r="O139" s="11" t="s">
        <v>489</v>
      </c>
    </row>
    <row r="140" spans="1:15" x14ac:dyDescent="0.3">
      <c r="A140" s="11" t="s">
        <v>604</v>
      </c>
      <c r="B140" s="11" t="s">
        <v>605</v>
      </c>
      <c r="C140" s="11" t="s">
        <v>139</v>
      </c>
      <c r="D140" s="10">
        <v>29</v>
      </c>
      <c r="E140" s="11" t="s">
        <v>141</v>
      </c>
      <c r="F140" s="11" t="s">
        <v>89</v>
      </c>
      <c r="G140" s="11" t="s">
        <v>606</v>
      </c>
      <c r="H140" s="10">
        <v>2200</v>
      </c>
      <c r="I140" s="10">
        <v>2</v>
      </c>
      <c r="J140" s="12">
        <v>46122</v>
      </c>
      <c r="K140" s="11" t="s">
        <v>493</v>
      </c>
      <c r="L140" s="10">
        <v>100000</v>
      </c>
      <c r="M140" s="10">
        <v>2</v>
      </c>
      <c r="N140" s="10">
        <v>11.6</v>
      </c>
      <c r="O140" s="11" t="s">
        <v>489</v>
      </c>
    </row>
    <row r="141" spans="1:15" x14ac:dyDescent="0.3">
      <c r="A141" s="11" t="s">
        <v>607</v>
      </c>
      <c r="B141" s="11" t="s">
        <v>608</v>
      </c>
      <c r="C141" s="11" t="s">
        <v>168</v>
      </c>
      <c r="D141" s="10">
        <v>45</v>
      </c>
      <c r="E141" s="11" t="s">
        <v>136</v>
      </c>
      <c r="F141" s="11" t="s">
        <v>96</v>
      </c>
      <c r="G141" s="11" t="s">
        <v>95</v>
      </c>
      <c r="H141" s="10">
        <v>7500</v>
      </c>
      <c r="I141" s="10">
        <v>2</v>
      </c>
      <c r="J141" s="12">
        <v>46124</v>
      </c>
      <c r="K141" s="11" t="s">
        <v>496</v>
      </c>
      <c r="L141" s="10">
        <v>420000</v>
      </c>
      <c r="M141" s="10">
        <v>6</v>
      </c>
      <c r="N141" s="10">
        <v>9</v>
      </c>
      <c r="O141" s="11" t="s">
        <v>489</v>
      </c>
    </row>
    <row r="142" spans="1:15" x14ac:dyDescent="0.3">
      <c r="A142" s="11" t="s">
        <v>609</v>
      </c>
      <c r="B142" s="11" t="s">
        <v>610</v>
      </c>
      <c r="C142" s="11" t="s">
        <v>224</v>
      </c>
      <c r="D142" s="10">
        <v>34</v>
      </c>
      <c r="E142" s="11" t="s">
        <v>141</v>
      </c>
      <c r="F142" s="11" t="s">
        <v>491</v>
      </c>
      <c r="G142" s="11" t="s">
        <v>611</v>
      </c>
      <c r="H142" s="10">
        <v>1800</v>
      </c>
      <c r="I142" s="10">
        <v>3</v>
      </c>
      <c r="J142" s="12">
        <v>46127</v>
      </c>
      <c r="K142" s="11" t="s">
        <v>488</v>
      </c>
      <c r="L142" s="10">
        <v>140000</v>
      </c>
      <c r="M142" s="10">
        <v>3</v>
      </c>
      <c r="N142" s="10">
        <v>10.5</v>
      </c>
      <c r="O142" s="11" t="s">
        <v>489</v>
      </c>
    </row>
    <row r="143" spans="1:15" x14ac:dyDescent="0.3">
      <c r="A143" s="11" t="s">
        <v>612</v>
      </c>
      <c r="B143" s="11" t="s">
        <v>613</v>
      </c>
      <c r="C143" s="11" t="s">
        <v>139</v>
      </c>
      <c r="D143" s="10">
        <v>55</v>
      </c>
      <c r="E143" s="11" t="s">
        <v>136</v>
      </c>
      <c r="F143" s="11" t="s">
        <v>89</v>
      </c>
      <c r="G143" s="11" t="s">
        <v>532</v>
      </c>
      <c r="H143" s="10">
        <v>35000</v>
      </c>
      <c r="I143" s="10">
        <v>1</v>
      </c>
      <c r="J143" s="12">
        <v>46129</v>
      </c>
      <c r="K143" s="11" t="s">
        <v>511</v>
      </c>
      <c r="L143" s="10">
        <v>800000</v>
      </c>
      <c r="M143" s="10">
        <v>10</v>
      </c>
      <c r="N143" s="10">
        <v>8.1999999999999993</v>
      </c>
      <c r="O143" s="11" t="s">
        <v>489</v>
      </c>
    </row>
    <row r="144" spans="1:15" x14ac:dyDescent="0.3">
      <c r="A144" s="11" t="s">
        <v>614</v>
      </c>
      <c r="B144" s="11" t="s">
        <v>615</v>
      </c>
      <c r="C144" s="11" t="s">
        <v>144</v>
      </c>
      <c r="D144" s="10">
        <v>27</v>
      </c>
      <c r="E144" s="11" t="s">
        <v>141</v>
      </c>
      <c r="F144" s="11" t="s">
        <v>519</v>
      </c>
      <c r="G144" s="11" t="s">
        <v>616</v>
      </c>
      <c r="H144" s="10">
        <v>9500</v>
      </c>
      <c r="I144" s="10">
        <v>1</v>
      </c>
      <c r="J144" s="12">
        <v>46131</v>
      </c>
      <c r="K144" s="11" t="s">
        <v>493</v>
      </c>
      <c r="L144" s="10">
        <v>115000</v>
      </c>
      <c r="M144" s="10">
        <v>2</v>
      </c>
      <c r="N144" s="10">
        <v>11.1</v>
      </c>
      <c r="O144" s="11" t="s">
        <v>499</v>
      </c>
    </row>
    <row r="145" spans="1:15" x14ac:dyDescent="0.3">
      <c r="A145" s="11" t="s">
        <v>617</v>
      </c>
      <c r="B145" s="11" t="s">
        <v>618</v>
      </c>
      <c r="C145" s="11" t="s">
        <v>172</v>
      </c>
      <c r="D145" s="10">
        <v>39</v>
      </c>
      <c r="E145" s="11" t="s">
        <v>136</v>
      </c>
      <c r="F145" s="11" t="s">
        <v>89</v>
      </c>
      <c r="G145" s="11" t="s">
        <v>619</v>
      </c>
      <c r="H145" s="10">
        <v>5500</v>
      </c>
      <c r="I145" s="10">
        <v>2</v>
      </c>
      <c r="J145" s="12">
        <v>46133</v>
      </c>
      <c r="K145" s="11" t="s">
        <v>488</v>
      </c>
      <c r="L145" s="10">
        <v>275000</v>
      </c>
      <c r="M145" s="10">
        <v>5</v>
      </c>
      <c r="N145" s="10">
        <v>9.6</v>
      </c>
      <c r="O145" s="11" t="s">
        <v>489</v>
      </c>
    </row>
    <row r="146" spans="1:15" x14ac:dyDescent="0.3">
      <c r="A146" s="11" t="s">
        <v>620</v>
      </c>
      <c r="B146" s="11" t="s">
        <v>621</v>
      </c>
      <c r="C146" s="11" t="s">
        <v>139</v>
      </c>
      <c r="D146" s="10">
        <v>42</v>
      </c>
      <c r="E146" s="11" t="s">
        <v>141</v>
      </c>
      <c r="F146" s="11" t="s">
        <v>491</v>
      </c>
      <c r="G146" s="11" t="s">
        <v>622</v>
      </c>
      <c r="H146" s="10">
        <v>2100</v>
      </c>
      <c r="I146" s="10">
        <v>2</v>
      </c>
      <c r="J146" s="12">
        <v>46135</v>
      </c>
      <c r="K146" s="11" t="s">
        <v>496</v>
      </c>
      <c r="L146" s="10">
        <v>180000</v>
      </c>
      <c r="M146" s="10">
        <v>4</v>
      </c>
      <c r="N146" s="10">
        <v>10</v>
      </c>
      <c r="O146" s="11" t="s">
        <v>489</v>
      </c>
    </row>
    <row r="147" spans="1:15" x14ac:dyDescent="0.3">
      <c r="A147" s="11" t="s">
        <v>623</v>
      </c>
      <c r="B147" s="11" t="s">
        <v>624</v>
      </c>
      <c r="C147" s="11" t="s">
        <v>501</v>
      </c>
      <c r="D147" s="10">
        <v>48</v>
      </c>
      <c r="E147" s="11" t="s">
        <v>136</v>
      </c>
      <c r="F147" s="11" t="s">
        <v>96</v>
      </c>
      <c r="G147" s="11" t="s">
        <v>110</v>
      </c>
      <c r="H147" s="10">
        <v>11000</v>
      </c>
      <c r="I147" s="10">
        <v>1</v>
      </c>
      <c r="J147" s="12">
        <v>46137</v>
      </c>
      <c r="K147" s="11" t="s">
        <v>488</v>
      </c>
      <c r="L147" s="10">
        <v>475000</v>
      </c>
      <c r="M147" s="10">
        <v>7</v>
      </c>
      <c r="N147" s="10">
        <v>8.8000000000000007</v>
      </c>
      <c r="O147" s="11" t="s">
        <v>489</v>
      </c>
    </row>
    <row r="148" spans="1:15" x14ac:dyDescent="0.3">
      <c r="A148" s="11" t="s">
        <v>625</v>
      </c>
      <c r="B148" s="11" t="s">
        <v>626</v>
      </c>
      <c r="C148" s="11" t="s">
        <v>154</v>
      </c>
      <c r="D148" s="10">
        <v>30</v>
      </c>
      <c r="E148" s="11" t="s">
        <v>141</v>
      </c>
      <c r="F148" s="11" t="s">
        <v>505</v>
      </c>
      <c r="G148" s="11" t="s">
        <v>627</v>
      </c>
      <c r="H148" s="10">
        <v>900</v>
      </c>
      <c r="I148" s="10">
        <v>4</v>
      </c>
      <c r="J148" s="12">
        <v>46139</v>
      </c>
      <c r="K148" s="11" t="s">
        <v>493</v>
      </c>
      <c r="L148" s="10">
        <v>105000</v>
      </c>
      <c r="M148" s="10">
        <v>2</v>
      </c>
      <c r="N148" s="10">
        <v>11.3</v>
      </c>
      <c r="O148" s="11" t="s">
        <v>489</v>
      </c>
    </row>
    <row r="149" spans="1:15" x14ac:dyDescent="0.3">
      <c r="A149" s="11" t="s">
        <v>628</v>
      </c>
      <c r="B149" s="11" t="s">
        <v>629</v>
      </c>
      <c r="C149" s="11" t="s">
        <v>139</v>
      </c>
      <c r="D149" s="10">
        <v>37</v>
      </c>
      <c r="E149" s="11" t="s">
        <v>136</v>
      </c>
      <c r="F149" s="11" t="s">
        <v>89</v>
      </c>
      <c r="G149" s="11" t="s">
        <v>88</v>
      </c>
      <c r="H149" s="10">
        <v>62000</v>
      </c>
      <c r="I149" s="10">
        <v>1</v>
      </c>
      <c r="J149" s="12">
        <v>46142</v>
      </c>
      <c r="K149" s="11" t="s">
        <v>488</v>
      </c>
      <c r="L149" s="10">
        <v>350000</v>
      </c>
      <c r="M149" s="10">
        <v>5</v>
      </c>
      <c r="N149" s="10">
        <v>9.3000000000000007</v>
      </c>
      <c r="O149" s="11" t="s">
        <v>489</v>
      </c>
    </row>
  </sheetData>
  <mergeCells count="1">
    <mergeCell ref="I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0748-3B01-48FD-A307-83956B295287}">
  <dimension ref="A2:AT74"/>
  <sheetViews>
    <sheetView topLeftCell="R4" workbookViewId="0">
      <selection activeCell="X24" sqref="X24"/>
    </sheetView>
  </sheetViews>
  <sheetFormatPr defaultRowHeight="14.4" x14ac:dyDescent="0.3"/>
  <cols>
    <col min="1" max="1" width="11.21875" bestFit="1" customWidth="1"/>
    <col min="2" max="2" width="14.21875" bestFit="1" customWidth="1"/>
    <col min="3" max="3" width="10.109375" bestFit="1" customWidth="1"/>
    <col min="4" max="4" width="9.33203125" bestFit="1" customWidth="1"/>
    <col min="5" max="5" width="6.6640625" customWidth="1"/>
    <col min="6" max="6" width="15.109375" bestFit="1" customWidth="1"/>
    <col min="7" max="7" width="14.88671875" bestFit="1" customWidth="1"/>
    <col min="8" max="8" width="5.88671875" bestFit="1" customWidth="1"/>
    <col min="9" max="9" width="7.21875" bestFit="1" customWidth="1"/>
    <col min="10" max="10" width="10.109375" bestFit="1" customWidth="1"/>
    <col min="11" max="11" width="13.109375" bestFit="1" customWidth="1"/>
    <col min="12" max="12" width="11.6640625" bestFit="1" customWidth="1"/>
    <col min="13" max="13" width="11.33203125" bestFit="1" customWidth="1"/>
    <col min="14" max="14" width="11.44140625" bestFit="1" customWidth="1"/>
    <col min="15" max="15" width="10.6640625" bestFit="1" customWidth="1"/>
    <col min="16" max="16" width="12.88671875" bestFit="1" customWidth="1"/>
    <col min="17" max="17" width="16.109375" bestFit="1" customWidth="1"/>
    <col min="18" max="18" width="13.6640625" bestFit="1" customWidth="1"/>
    <col min="19" max="19" width="17.6640625" customWidth="1"/>
    <col min="20" max="20" width="46.109375" customWidth="1"/>
    <col min="21" max="21" width="14" customWidth="1"/>
    <col min="22" max="22" width="13.6640625" bestFit="1" customWidth="1"/>
    <col min="23" max="23" width="16.33203125" customWidth="1"/>
    <col min="24" max="36" width="14" customWidth="1"/>
    <col min="37" max="37" width="16.5546875" bestFit="1" customWidth="1"/>
    <col min="38" max="39" width="14" customWidth="1"/>
    <col min="40" max="40" width="14.21875" bestFit="1" customWidth="1"/>
    <col min="41" max="43" width="14" customWidth="1"/>
    <col min="44" max="44" width="16.21875" bestFit="1" customWidth="1"/>
    <col min="45" max="45" width="12.44140625" bestFit="1" customWidth="1"/>
    <col min="46" max="46" width="11.109375" bestFit="1" customWidth="1"/>
  </cols>
  <sheetData>
    <row r="2" spans="1:46" x14ac:dyDescent="0.3">
      <c r="A2" s="11" t="s">
        <v>475</v>
      </c>
      <c r="B2" s="11" t="s">
        <v>476</v>
      </c>
      <c r="C2" s="11" t="s">
        <v>132</v>
      </c>
      <c r="D2" s="11" t="s">
        <v>126</v>
      </c>
      <c r="E2" s="11" t="s">
        <v>127</v>
      </c>
      <c r="F2" s="11" t="s">
        <v>477</v>
      </c>
      <c r="G2" s="11" t="s">
        <v>478</v>
      </c>
      <c r="H2" s="11" t="s">
        <v>479</v>
      </c>
      <c r="I2" s="11" t="s">
        <v>480</v>
      </c>
      <c r="J2" s="11" t="s">
        <v>481</v>
      </c>
      <c r="K2" s="11" t="s">
        <v>482</v>
      </c>
      <c r="L2" s="11" t="s">
        <v>483</v>
      </c>
      <c r="M2" s="11" t="s">
        <v>484</v>
      </c>
      <c r="N2" s="11" t="s">
        <v>485</v>
      </c>
      <c r="O2" s="11" t="s">
        <v>486</v>
      </c>
      <c r="P2" s="46" t="s">
        <v>642</v>
      </c>
      <c r="Q2" s="46" t="s">
        <v>640</v>
      </c>
      <c r="R2" s="46" t="s">
        <v>641</v>
      </c>
      <c r="S2" s="46" t="s">
        <v>643</v>
      </c>
      <c r="T2" s="46" t="s">
        <v>644</v>
      </c>
      <c r="U2" s="46" t="s">
        <v>657</v>
      </c>
      <c r="V2" s="46" t="s">
        <v>645</v>
      </c>
      <c r="W2" s="46" t="s">
        <v>646</v>
      </c>
      <c r="X2" s="46" t="s">
        <v>647</v>
      </c>
      <c r="Y2" s="46" t="s">
        <v>658</v>
      </c>
      <c r="Z2" s="46" t="s">
        <v>665</v>
      </c>
      <c r="AA2" s="11"/>
      <c r="AB2" s="30"/>
      <c r="AC2" s="30"/>
      <c r="AD2" s="30"/>
      <c r="AE2" s="30"/>
      <c r="AF2" s="30"/>
      <c r="AG2" s="30"/>
      <c r="AH2" s="11"/>
      <c r="AI2" s="30"/>
      <c r="AJ2" s="30"/>
      <c r="AK2" s="30"/>
      <c r="AL2" s="30"/>
      <c r="AM2" s="30"/>
      <c r="AN2" s="30"/>
      <c r="AO2" s="30"/>
      <c r="AP2" s="30"/>
      <c r="AQ2" s="30"/>
      <c r="AR2" s="11"/>
      <c r="AS2" s="11"/>
      <c r="AT2" s="11"/>
    </row>
    <row r="3" spans="1:46" x14ac:dyDescent="0.3">
      <c r="A3" s="11" t="s">
        <v>487</v>
      </c>
      <c r="B3" s="11" t="s">
        <v>135</v>
      </c>
      <c r="C3" s="11" t="s">
        <v>139</v>
      </c>
      <c r="D3" s="10">
        <v>28</v>
      </c>
      <c r="E3" s="11" t="s">
        <v>136</v>
      </c>
      <c r="F3" s="11" t="s">
        <v>89</v>
      </c>
      <c r="G3" s="11" t="s">
        <v>88</v>
      </c>
      <c r="H3" s="10">
        <v>55000</v>
      </c>
      <c r="I3" s="10">
        <v>1</v>
      </c>
      <c r="J3" s="12">
        <v>46027</v>
      </c>
      <c r="K3" s="11" t="s">
        <v>488</v>
      </c>
      <c r="L3" s="10">
        <v>300000</v>
      </c>
      <c r="M3" s="10">
        <v>5</v>
      </c>
      <c r="N3" s="10">
        <v>9.5</v>
      </c>
      <c r="O3" s="11" t="s">
        <v>489</v>
      </c>
      <c r="P3" s="17" t="str">
        <f>LOWER(B3)</f>
        <v>rahul sharma</v>
      </c>
      <c r="Q3" s="17" t="str">
        <f>UPPER(B3)</f>
        <v>RAHUL SHARMA</v>
      </c>
      <c r="R3" s="17" t="str">
        <f>+PROPER(B3)</f>
        <v>Rahul Sharma</v>
      </c>
      <c r="S3" s="17" t="str">
        <f>LEFT(B3,5)</f>
        <v>Rahul</v>
      </c>
      <c r="T3" s="17" t="str">
        <f>RIGHT(B3,6)</f>
        <v>Sharma</v>
      </c>
      <c r="U3" s="17" t="str">
        <f>MID(W3,7,3)</f>
        <v>Sha</v>
      </c>
      <c r="V3" s="17">
        <f>LEN(B3)</f>
        <v>12</v>
      </c>
      <c r="W3" s="17" t="str">
        <f>TRIM(B3)</f>
        <v>Rahul Sharma</v>
      </c>
      <c r="X3" s="17">
        <f>LEN(W3)</f>
        <v>12</v>
      </c>
      <c r="Y3" s="17">
        <f>FIND("Sh",W3)</f>
        <v>7</v>
      </c>
      <c r="Z3" s="17">
        <f>SEARCH("Sh",W3,5)</f>
        <v>7</v>
      </c>
      <c r="AA3" s="35"/>
      <c r="AB3" s="39"/>
      <c r="AC3" s="39"/>
      <c r="AD3" s="17"/>
      <c r="AE3" s="17"/>
      <c r="AF3" s="17"/>
      <c r="AG3" s="17"/>
      <c r="AH3" s="35"/>
      <c r="AI3" s="41"/>
      <c r="AJ3" s="41"/>
      <c r="AK3" s="43"/>
      <c r="AL3" s="42"/>
      <c r="AM3" s="41"/>
      <c r="AN3" s="41"/>
      <c r="AO3" s="41"/>
      <c r="AP3" s="41"/>
      <c r="AQ3" s="41"/>
      <c r="AR3" s="11"/>
    </row>
    <row r="4" spans="1:46" ht="14.55" customHeight="1" x14ac:dyDescent="0.3">
      <c r="A4" s="11" t="s">
        <v>490</v>
      </c>
      <c r="B4" s="11" t="s">
        <v>140</v>
      </c>
      <c r="C4" s="11" t="s">
        <v>144</v>
      </c>
      <c r="D4" s="10">
        <v>32</v>
      </c>
      <c r="E4" s="11" t="s">
        <v>141</v>
      </c>
      <c r="F4" s="11" t="s">
        <v>491</v>
      </c>
      <c r="G4" s="11" t="s">
        <v>492</v>
      </c>
      <c r="H4" s="10">
        <v>2500</v>
      </c>
      <c r="I4" s="10">
        <v>2</v>
      </c>
      <c r="J4" s="12">
        <v>46029</v>
      </c>
      <c r="K4" s="11" t="s">
        <v>493</v>
      </c>
      <c r="L4" s="10">
        <v>150000</v>
      </c>
      <c r="M4" s="10">
        <v>3</v>
      </c>
      <c r="N4" s="10">
        <v>10.199999999999999</v>
      </c>
      <c r="O4" s="11" t="s">
        <v>489</v>
      </c>
      <c r="P4" t="str">
        <f t="shared" ref="P4:P52" si="0">LOWER(B4)</f>
        <v>priya verma</v>
      </c>
      <c r="Q4" s="31" t="str">
        <f t="shared" ref="Q4:Q52" si="1">UPPER(B4)</f>
        <v>PRIYA VERMA</v>
      </c>
      <c r="R4" s="31" t="str">
        <f t="shared" ref="R4:R52" si="2">+PROPER(B4)</f>
        <v>Priya Verma</v>
      </c>
      <c r="S4" s="31"/>
      <c r="T4" s="31"/>
      <c r="U4" s="31"/>
      <c r="V4" s="31"/>
      <c r="W4" s="31"/>
      <c r="X4" s="31"/>
      <c r="Y4" s="31">
        <f>FIND("r",W3,3)</f>
        <v>10</v>
      </c>
      <c r="Z4" s="31"/>
      <c r="AA4" s="35"/>
      <c r="AB4" s="31"/>
      <c r="AC4" s="31"/>
      <c r="AD4" s="31"/>
      <c r="AE4" s="62"/>
      <c r="AF4" s="31"/>
      <c r="AG4" s="17"/>
      <c r="AH4" s="35"/>
      <c r="AI4" s="41"/>
      <c r="AJ4" s="41"/>
      <c r="AK4" s="41"/>
      <c r="AL4" s="41"/>
      <c r="AM4" s="41"/>
      <c r="AN4" s="41"/>
      <c r="AO4" s="41"/>
      <c r="AP4" s="41"/>
      <c r="AQ4" s="41"/>
      <c r="AR4" s="11"/>
    </row>
    <row r="5" spans="1:46" x14ac:dyDescent="0.3">
      <c r="A5" s="11" t="s">
        <v>494</v>
      </c>
      <c r="B5" s="11" t="s">
        <v>145</v>
      </c>
      <c r="C5" s="11" t="s">
        <v>139</v>
      </c>
      <c r="D5" s="10">
        <v>41</v>
      </c>
      <c r="E5" s="11" t="s">
        <v>136</v>
      </c>
      <c r="F5" s="11" t="s">
        <v>96</v>
      </c>
      <c r="G5" s="11" t="s">
        <v>495</v>
      </c>
      <c r="H5" s="10">
        <v>4500</v>
      </c>
      <c r="I5" s="10">
        <v>4</v>
      </c>
      <c r="J5" s="12">
        <v>46032</v>
      </c>
      <c r="K5" s="11" t="s">
        <v>496</v>
      </c>
      <c r="L5" s="10">
        <v>500000</v>
      </c>
      <c r="M5" s="10">
        <v>7</v>
      </c>
      <c r="N5" s="10">
        <v>8.9</v>
      </c>
      <c r="O5" s="11" t="s">
        <v>489</v>
      </c>
      <c r="P5" t="str">
        <f t="shared" si="0"/>
        <v>amit kumar</v>
      </c>
      <c r="Q5" s="31" t="str">
        <f t="shared" si="1"/>
        <v>AMIT KUMAR</v>
      </c>
      <c r="R5" s="31" t="str">
        <f t="shared" si="2"/>
        <v>Amit Kumar</v>
      </c>
      <c r="S5" s="31"/>
      <c r="T5" s="31"/>
      <c r="U5" s="31"/>
      <c r="V5" s="31"/>
      <c r="W5" s="31"/>
      <c r="X5" s="31"/>
      <c r="Y5" s="31"/>
      <c r="Z5" s="31"/>
      <c r="AA5" s="35"/>
      <c r="AB5" s="31"/>
      <c r="AC5" s="31"/>
      <c r="AD5" s="31"/>
      <c r="AE5" s="62"/>
      <c r="AF5" s="31"/>
      <c r="AG5" s="31"/>
      <c r="AH5" s="35"/>
      <c r="AI5" s="41"/>
      <c r="AJ5" s="41"/>
      <c r="AK5" s="41"/>
      <c r="AL5" s="41"/>
      <c r="AM5" s="41"/>
      <c r="AN5" s="41"/>
      <c r="AO5" s="41"/>
      <c r="AP5" s="41"/>
      <c r="AQ5" s="41"/>
      <c r="AR5" s="11"/>
    </row>
    <row r="6" spans="1:46" x14ac:dyDescent="0.3">
      <c r="A6" s="11" t="s">
        <v>497</v>
      </c>
      <c r="B6" s="11" t="s">
        <v>498</v>
      </c>
      <c r="C6" s="11" t="s">
        <v>224</v>
      </c>
      <c r="D6" s="10">
        <v>26</v>
      </c>
      <c r="E6" s="11" t="s">
        <v>141</v>
      </c>
      <c r="F6" s="11" t="s">
        <v>89</v>
      </c>
      <c r="G6" s="11" t="s">
        <v>112</v>
      </c>
      <c r="H6" s="10">
        <v>1800</v>
      </c>
      <c r="I6" s="10">
        <v>1</v>
      </c>
      <c r="J6" s="12">
        <v>46034</v>
      </c>
      <c r="K6" s="11" t="s">
        <v>488</v>
      </c>
      <c r="L6" s="10">
        <v>100000</v>
      </c>
      <c r="M6" s="10">
        <v>2</v>
      </c>
      <c r="N6" s="10">
        <v>11.5</v>
      </c>
      <c r="O6" s="11" t="s">
        <v>499</v>
      </c>
      <c r="P6" t="str">
        <f t="shared" si="0"/>
        <v>neha singh</v>
      </c>
      <c r="Q6" s="31" t="str">
        <f t="shared" si="1"/>
        <v>NEHA SINGH</v>
      </c>
      <c r="R6" s="31" t="str">
        <f t="shared" si="2"/>
        <v>Neha Singh</v>
      </c>
      <c r="S6" s="31"/>
      <c r="T6" s="31"/>
      <c r="U6" s="31"/>
      <c r="V6" s="31"/>
      <c r="W6" s="31"/>
      <c r="X6" s="31"/>
      <c r="Y6" s="31"/>
      <c r="Z6" s="31"/>
      <c r="AA6" s="35"/>
      <c r="AB6" s="31"/>
      <c r="AC6" s="31"/>
      <c r="AD6" s="31"/>
      <c r="AE6" s="62"/>
      <c r="AF6" s="31"/>
      <c r="AG6" s="31"/>
      <c r="AH6" s="35"/>
      <c r="AI6" s="41"/>
      <c r="AJ6" s="41"/>
      <c r="AK6" s="41"/>
      <c r="AL6" s="41"/>
      <c r="AM6" s="41"/>
      <c r="AN6" s="41"/>
      <c r="AO6" s="41"/>
      <c r="AP6" s="41"/>
      <c r="AQ6" s="41"/>
      <c r="AR6" s="11"/>
    </row>
    <row r="7" spans="1:46" x14ac:dyDescent="0.3">
      <c r="A7" s="11" t="s">
        <v>500</v>
      </c>
      <c r="B7" s="11" t="s">
        <v>151</v>
      </c>
      <c r="C7" s="11" t="s">
        <v>501</v>
      </c>
      <c r="D7" s="10">
        <v>35</v>
      </c>
      <c r="E7" s="11" t="s">
        <v>136</v>
      </c>
      <c r="F7" s="11" t="s">
        <v>89</v>
      </c>
      <c r="G7" s="11" t="s">
        <v>502</v>
      </c>
      <c r="H7" s="10">
        <v>22000</v>
      </c>
      <c r="I7" s="10">
        <v>1</v>
      </c>
      <c r="J7" s="12">
        <v>46037</v>
      </c>
      <c r="K7" s="11" t="s">
        <v>493</v>
      </c>
      <c r="L7" s="10">
        <v>250000</v>
      </c>
      <c r="M7" s="10">
        <v>4</v>
      </c>
      <c r="N7" s="10">
        <v>9.8000000000000007</v>
      </c>
      <c r="O7" s="11" t="s">
        <v>489</v>
      </c>
      <c r="P7" t="str">
        <f t="shared" si="0"/>
        <v>rohit gupta</v>
      </c>
      <c r="Q7" s="31" t="str">
        <f t="shared" si="1"/>
        <v>ROHIT GUPTA</v>
      </c>
      <c r="R7" s="31" t="str">
        <f t="shared" si="2"/>
        <v>Rohit Gupta</v>
      </c>
      <c r="S7" s="31"/>
      <c r="T7" s="31"/>
      <c r="U7" s="31"/>
      <c r="V7" s="31"/>
      <c r="W7" s="31"/>
      <c r="X7" s="31"/>
      <c r="Y7" s="31"/>
      <c r="Z7" s="31"/>
      <c r="AA7" s="35"/>
      <c r="AB7" s="31"/>
      <c r="AC7" s="31"/>
      <c r="AD7" s="31"/>
      <c r="AE7" s="62"/>
      <c r="AF7" s="31"/>
      <c r="AG7" s="31"/>
      <c r="AH7" s="35"/>
      <c r="AI7" s="41"/>
      <c r="AJ7" s="41"/>
      <c r="AK7" s="41"/>
      <c r="AL7" s="41"/>
      <c r="AN7" s="45"/>
      <c r="AO7" s="41"/>
      <c r="AP7" s="41"/>
      <c r="AQ7" s="41"/>
      <c r="AR7" s="11"/>
    </row>
    <row r="8" spans="1:46" ht="16.8" x14ac:dyDescent="0.4">
      <c r="A8" s="11" t="s">
        <v>503</v>
      </c>
      <c r="B8" s="11" t="s">
        <v>504</v>
      </c>
      <c r="C8" s="11" t="s">
        <v>154</v>
      </c>
      <c r="D8" s="10">
        <v>29</v>
      </c>
      <c r="E8" s="11" t="s">
        <v>141</v>
      </c>
      <c r="F8" s="11" t="s">
        <v>505</v>
      </c>
      <c r="G8" s="11" t="s">
        <v>506</v>
      </c>
      <c r="H8" s="10">
        <v>3200</v>
      </c>
      <c r="I8" s="10">
        <v>3</v>
      </c>
      <c r="J8" s="12">
        <v>46040</v>
      </c>
      <c r="K8" s="11" t="s">
        <v>488</v>
      </c>
      <c r="L8" s="10">
        <v>180000</v>
      </c>
      <c r="M8" s="10">
        <v>3</v>
      </c>
      <c r="N8" s="10">
        <v>10.5</v>
      </c>
      <c r="O8" s="11" t="s">
        <v>489</v>
      </c>
      <c r="P8" t="str">
        <f t="shared" si="0"/>
        <v>anjali mehta</v>
      </c>
      <c r="Q8" s="31" t="str">
        <f t="shared" si="1"/>
        <v>ANJALI MEHTA</v>
      </c>
      <c r="R8" s="31" t="str">
        <f t="shared" si="2"/>
        <v>Anjali Mehta</v>
      </c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62"/>
      <c r="AF8" s="31"/>
      <c r="AG8" s="31"/>
      <c r="AH8" s="31"/>
      <c r="AI8" s="31"/>
      <c r="AJ8" s="31"/>
      <c r="AK8" s="31"/>
      <c r="AL8" s="31"/>
      <c r="AM8" s="44"/>
      <c r="AN8" s="3"/>
      <c r="AO8" s="31"/>
      <c r="AP8" s="31"/>
      <c r="AQ8" s="31"/>
      <c r="AR8" s="11"/>
    </row>
    <row r="9" spans="1:46" x14ac:dyDescent="0.3">
      <c r="A9" s="11" t="s">
        <v>507</v>
      </c>
      <c r="B9" s="11" t="s">
        <v>508</v>
      </c>
      <c r="C9" s="11" t="s">
        <v>172</v>
      </c>
      <c r="D9" s="10">
        <v>45</v>
      </c>
      <c r="E9" s="11" t="s">
        <v>136</v>
      </c>
      <c r="F9" s="11" t="s">
        <v>509</v>
      </c>
      <c r="G9" s="11" t="s">
        <v>510</v>
      </c>
      <c r="H9" s="10">
        <v>1200</v>
      </c>
      <c r="I9" s="10">
        <v>5</v>
      </c>
      <c r="J9" s="12">
        <v>46042</v>
      </c>
      <c r="K9" s="11" t="s">
        <v>511</v>
      </c>
      <c r="L9" s="10">
        <v>400000</v>
      </c>
      <c r="M9" s="10">
        <v>6</v>
      </c>
      <c r="N9" s="10">
        <v>9.1999999999999993</v>
      </c>
      <c r="O9" s="11" t="s">
        <v>489</v>
      </c>
      <c r="P9" t="str">
        <f t="shared" si="0"/>
        <v>vikas yadav</v>
      </c>
      <c r="Q9" s="31" t="str">
        <f t="shared" si="1"/>
        <v>VIKAS YADAV</v>
      </c>
      <c r="R9" s="31" t="str">
        <f t="shared" si="2"/>
        <v>Vikas Yadav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40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</row>
    <row r="10" spans="1:46" x14ac:dyDescent="0.3">
      <c r="A10" s="11" t="s">
        <v>512</v>
      </c>
      <c r="B10" s="11" t="s">
        <v>165</v>
      </c>
      <c r="C10" s="11" t="s">
        <v>139</v>
      </c>
      <c r="D10" s="10">
        <v>31</v>
      </c>
      <c r="E10" s="11" t="s">
        <v>141</v>
      </c>
      <c r="F10" s="11" t="s">
        <v>491</v>
      </c>
      <c r="G10" s="11" t="s">
        <v>513</v>
      </c>
      <c r="H10" s="10">
        <v>3500</v>
      </c>
      <c r="I10" s="10">
        <v>2</v>
      </c>
      <c r="J10" s="12">
        <v>46044</v>
      </c>
      <c r="K10" s="11" t="s">
        <v>488</v>
      </c>
      <c r="L10" s="10">
        <v>200000</v>
      </c>
      <c r="M10" s="10">
        <v>4</v>
      </c>
      <c r="N10" s="10">
        <v>10</v>
      </c>
      <c r="O10" s="11" t="s">
        <v>489</v>
      </c>
      <c r="P10" t="str">
        <f t="shared" si="0"/>
        <v>pooja sharma</v>
      </c>
      <c r="Q10" s="31" t="str">
        <f t="shared" si="1"/>
        <v>POOJA SHARMA</v>
      </c>
      <c r="R10" s="31" t="str">
        <f t="shared" si="2"/>
        <v>Pooja Sharma</v>
      </c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</row>
    <row r="11" spans="1:46" ht="16.2" thickBot="1" x14ac:dyDescent="0.35">
      <c r="A11" s="11" t="s">
        <v>514</v>
      </c>
      <c r="B11" s="11" t="s">
        <v>515</v>
      </c>
      <c r="C11" s="11" t="s">
        <v>168</v>
      </c>
      <c r="D11" s="10">
        <v>38</v>
      </c>
      <c r="E11" s="11" t="s">
        <v>136</v>
      </c>
      <c r="F11" s="11" t="s">
        <v>89</v>
      </c>
      <c r="G11" s="11" t="s">
        <v>516</v>
      </c>
      <c r="H11" s="10">
        <v>18000</v>
      </c>
      <c r="I11" s="10">
        <v>1</v>
      </c>
      <c r="J11" s="12">
        <v>46047</v>
      </c>
      <c r="K11" s="11" t="s">
        <v>496</v>
      </c>
      <c r="L11" s="10">
        <v>350000</v>
      </c>
      <c r="M11" s="10">
        <v>5</v>
      </c>
      <c r="N11" s="10">
        <v>9.6999999999999993</v>
      </c>
      <c r="O11" s="11" t="s">
        <v>489</v>
      </c>
      <c r="P11" t="str">
        <f t="shared" si="0"/>
        <v>suresh patel</v>
      </c>
      <c r="Q11" s="31" t="str">
        <f t="shared" si="1"/>
        <v>SURESH PATEL</v>
      </c>
      <c r="R11" s="31" t="str">
        <f t="shared" si="2"/>
        <v>Suresh Patel</v>
      </c>
      <c r="S11" s="11"/>
      <c r="T11" s="47" t="s">
        <v>667</v>
      </c>
      <c r="U11" s="47" t="s">
        <v>668</v>
      </c>
      <c r="V11" s="47" t="s">
        <v>669</v>
      </c>
      <c r="W11" s="47" t="s">
        <v>673</v>
      </c>
      <c r="X11" s="47"/>
      <c r="Y11" s="47" t="s">
        <v>674</v>
      </c>
      <c r="Z11" s="48"/>
      <c r="AA11" s="47" t="s">
        <v>676</v>
      </c>
      <c r="AB11" s="47" t="s">
        <v>677</v>
      </c>
      <c r="AC11" s="47" t="s">
        <v>678</v>
      </c>
      <c r="AD11" s="47" t="s">
        <v>679</v>
      </c>
      <c r="AE11" s="47" t="s">
        <v>680</v>
      </c>
      <c r="AF11" s="47" t="s">
        <v>681</v>
      </c>
      <c r="AG11" s="47" t="s">
        <v>682</v>
      </c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spans="1:46" x14ac:dyDescent="0.3">
      <c r="A12" s="11" t="s">
        <v>517</v>
      </c>
      <c r="B12" s="11" t="s">
        <v>518</v>
      </c>
      <c r="C12" s="11" t="s">
        <v>150</v>
      </c>
      <c r="D12" s="10">
        <v>27</v>
      </c>
      <c r="E12" s="11" t="s">
        <v>141</v>
      </c>
      <c r="F12" s="11" t="s">
        <v>519</v>
      </c>
      <c r="G12" s="11" t="s">
        <v>520</v>
      </c>
      <c r="H12" s="10">
        <v>4500</v>
      </c>
      <c r="I12" s="10">
        <v>1</v>
      </c>
      <c r="J12" s="12">
        <v>46050</v>
      </c>
      <c r="K12" s="11" t="s">
        <v>493</v>
      </c>
      <c r="L12" s="10">
        <v>120000</v>
      </c>
      <c r="M12" s="10">
        <v>2</v>
      </c>
      <c r="N12" s="10">
        <v>11.2</v>
      </c>
      <c r="O12" s="11" t="s">
        <v>499</v>
      </c>
      <c r="P12" t="str">
        <f t="shared" si="0"/>
        <v>kavita rao</v>
      </c>
      <c r="Q12" s="31" t="str">
        <f t="shared" si="1"/>
        <v>KAVITA RAO</v>
      </c>
      <c r="R12" s="31" t="str">
        <f t="shared" si="2"/>
        <v>Kavita Rao</v>
      </c>
      <c r="S12" s="35">
        <v>55000.349000000002</v>
      </c>
      <c r="T12" s="39">
        <f>ROUND(S12,2)</f>
        <v>55000.35</v>
      </c>
      <c r="U12" s="39">
        <f>ROUNDUP(S12,2)</f>
        <v>55000.35</v>
      </c>
      <c r="V12" s="17"/>
      <c r="W12" s="49">
        <f>MOD(9,2)</f>
        <v>1</v>
      </c>
      <c r="X12" s="17"/>
      <c r="Y12" s="17">
        <f>ABS(-69)</f>
        <v>69</v>
      </c>
      <c r="Z12" s="35">
        <v>55000.349000000002</v>
      </c>
      <c r="AA12" s="41">
        <f>INT(Z12)</f>
        <v>55000</v>
      </c>
      <c r="AB12" s="41">
        <f>PRODUCT(4,5)</f>
        <v>20</v>
      </c>
      <c r="AC12" s="43">
        <f ca="1">NOW()</f>
        <v>46275.422554166667</v>
      </c>
      <c r="AD12" s="42">
        <f ca="1">TODAY()</f>
        <v>46275</v>
      </c>
      <c r="AE12" s="41">
        <f ca="1">MONTH(AD12)</f>
        <v>9</v>
      </c>
      <c r="AF12" s="41">
        <f ca="1">DAY(AD12)</f>
        <v>10</v>
      </c>
      <c r="AG12" s="41">
        <f ca="1">YEAR(AD12)</f>
        <v>2026</v>
      </c>
      <c r="AH12" s="31"/>
      <c r="AI12" s="31"/>
      <c r="AJ12" s="31"/>
      <c r="AK12" s="31"/>
      <c r="AL12" s="31"/>
      <c r="AM12" s="31"/>
      <c r="AN12" s="31"/>
      <c r="AO12" s="31"/>
      <c r="AP12" s="31"/>
      <c r="AQ12" s="31"/>
    </row>
    <row r="13" spans="1:46" ht="14.4" customHeight="1" x14ac:dyDescent="0.3">
      <c r="A13" s="11" t="s">
        <v>521</v>
      </c>
      <c r="B13" s="11" t="s">
        <v>522</v>
      </c>
      <c r="C13" s="11" t="s">
        <v>139</v>
      </c>
      <c r="D13" s="10">
        <v>33</v>
      </c>
      <c r="E13" s="11" t="s">
        <v>136</v>
      </c>
      <c r="F13" s="11" t="s">
        <v>89</v>
      </c>
      <c r="G13" s="11" t="s">
        <v>107</v>
      </c>
      <c r="H13" s="10">
        <v>15000</v>
      </c>
      <c r="I13" s="10">
        <v>2</v>
      </c>
      <c r="J13" s="12">
        <v>46055</v>
      </c>
      <c r="K13" s="11" t="s">
        <v>488</v>
      </c>
      <c r="L13" s="10">
        <v>275000</v>
      </c>
      <c r="M13" s="10">
        <v>5</v>
      </c>
      <c r="N13" s="10">
        <v>9.6</v>
      </c>
      <c r="O13" s="11" t="s">
        <v>489</v>
      </c>
      <c r="P13" t="str">
        <f t="shared" si="0"/>
        <v>arjun malhotra</v>
      </c>
      <c r="Q13" s="31" t="str">
        <f t="shared" si="1"/>
        <v>ARJUN MALHOTRA</v>
      </c>
      <c r="R13" s="31" t="str">
        <f t="shared" si="2"/>
        <v>Arjun Malhotra</v>
      </c>
      <c r="S13" s="35">
        <v>2500.2530000000002</v>
      </c>
      <c r="T13" s="31"/>
      <c r="U13" s="31"/>
      <c r="V13" s="31"/>
      <c r="W13" s="63" t="s">
        <v>675</v>
      </c>
      <c r="X13" s="31"/>
      <c r="Y13" s="17">
        <f>ABS(29)</f>
        <v>29</v>
      </c>
      <c r="Z13" s="35">
        <v>-2500.2530000000002</v>
      </c>
      <c r="AA13" s="41">
        <f>INT(Z13)</f>
        <v>-2501</v>
      </c>
      <c r="AB13" s="41">
        <f>PRODUCT(4,5,3)</f>
        <v>60</v>
      </c>
      <c r="AC13" s="41"/>
      <c r="AD13" s="41"/>
      <c r="AE13" s="41"/>
      <c r="AF13" s="41"/>
      <c r="AG13" s="41"/>
      <c r="AH13" s="31"/>
      <c r="AI13" s="31"/>
      <c r="AJ13" s="31"/>
      <c r="AK13" s="31"/>
      <c r="AL13" s="31"/>
      <c r="AM13" s="31"/>
      <c r="AN13" s="31"/>
      <c r="AO13" s="31"/>
      <c r="AP13" s="31"/>
      <c r="AQ13" s="31"/>
    </row>
    <row r="14" spans="1:46" x14ac:dyDescent="0.3">
      <c r="A14" s="11" t="s">
        <v>523</v>
      </c>
      <c r="B14" s="11" t="s">
        <v>184</v>
      </c>
      <c r="C14" s="11" t="s">
        <v>185</v>
      </c>
      <c r="D14" s="10">
        <v>30</v>
      </c>
      <c r="E14" s="11" t="s">
        <v>141</v>
      </c>
      <c r="F14" s="11" t="s">
        <v>491</v>
      </c>
      <c r="G14" s="11" t="s">
        <v>524</v>
      </c>
      <c r="H14" s="10">
        <v>2800</v>
      </c>
      <c r="I14" s="10">
        <v>2</v>
      </c>
      <c r="J14" s="12">
        <v>46057</v>
      </c>
      <c r="K14" s="11" t="s">
        <v>488</v>
      </c>
      <c r="L14" s="10">
        <v>160000</v>
      </c>
      <c r="M14" s="10">
        <v>3</v>
      </c>
      <c r="N14" s="10">
        <v>10.4</v>
      </c>
      <c r="O14" s="11" t="s">
        <v>489</v>
      </c>
      <c r="P14" t="str">
        <f t="shared" si="0"/>
        <v>simran kaur</v>
      </c>
      <c r="Q14" s="31" t="str">
        <f t="shared" si="1"/>
        <v>SIMRAN KAUR</v>
      </c>
      <c r="R14" s="31" t="str">
        <f t="shared" si="2"/>
        <v>Simran Kaur</v>
      </c>
      <c r="S14" s="35">
        <v>4500.6559999999999</v>
      </c>
      <c r="T14" s="31"/>
      <c r="U14" s="31"/>
      <c r="V14" s="31"/>
      <c r="W14" s="63"/>
      <c r="X14" s="31" t="s">
        <v>66</v>
      </c>
      <c r="Y14" s="31"/>
      <c r="Z14" s="35">
        <v>4500.6559999999999</v>
      </c>
      <c r="AA14" s="41">
        <f>INT(Z14)</f>
        <v>4500</v>
      </c>
      <c r="AB14" s="41"/>
      <c r="AC14" s="41"/>
      <c r="AD14" s="41"/>
      <c r="AE14" s="41"/>
      <c r="AF14" s="41"/>
      <c r="AG14" s="41"/>
      <c r="AH14" s="31"/>
      <c r="AI14" s="31"/>
      <c r="AJ14" s="31"/>
      <c r="AK14" s="31"/>
      <c r="AL14" s="31"/>
      <c r="AM14" s="31"/>
      <c r="AN14" s="31"/>
      <c r="AO14" s="31"/>
      <c r="AP14" s="31"/>
      <c r="AQ14" s="31"/>
    </row>
    <row r="15" spans="1:46" ht="15" thickBot="1" x14ac:dyDescent="0.35">
      <c r="A15" s="11" t="s">
        <v>525</v>
      </c>
      <c r="B15" s="11" t="s">
        <v>526</v>
      </c>
      <c r="C15" s="11" t="s">
        <v>172</v>
      </c>
      <c r="D15" s="10">
        <v>42</v>
      </c>
      <c r="E15" s="11" t="s">
        <v>136</v>
      </c>
      <c r="F15" s="11" t="s">
        <v>96</v>
      </c>
      <c r="G15" s="11" t="s">
        <v>527</v>
      </c>
      <c r="H15" s="10">
        <v>12000</v>
      </c>
      <c r="I15" s="10">
        <v>1</v>
      </c>
      <c r="J15" s="12">
        <v>46059</v>
      </c>
      <c r="K15" s="11" t="s">
        <v>496</v>
      </c>
      <c r="L15" s="10">
        <v>450000</v>
      </c>
      <c r="M15" s="10">
        <v>7</v>
      </c>
      <c r="N15" s="10">
        <v>8.8000000000000007</v>
      </c>
      <c r="O15" s="11" t="s">
        <v>489</v>
      </c>
      <c r="P15" t="str">
        <f t="shared" si="0"/>
        <v>manish jain</v>
      </c>
      <c r="Q15" s="31" t="str">
        <f t="shared" si="1"/>
        <v>MANISH JAIN</v>
      </c>
      <c r="R15" s="31" t="str">
        <f t="shared" si="2"/>
        <v>Manish Jain</v>
      </c>
      <c r="S15" s="35">
        <v>1800.2460000000001</v>
      </c>
      <c r="T15" s="31"/>
      <c r="U15" s="31"/>
      <c r="V15" s="31"/>
      <c r="W15" s="64"/>
      <c r="X15" s="31">
        <v>24</v>
      </c>
      <c r="Y15" s="31">
        <f>ABS(X15)</f>
        <v>24</v>
      </c>
      <c r="Z15" s="35">
        <v>1800.2460000000001</v>
      </c>
      <c r="AA15" s="41">
        <f>INT(Z15)</f>
        <v>1800</v>
      </c>
      <c r="AB15" s="41"/>
      <c r="AC15" s="41"/>
      <c r="AD15" s="41"/>
      <c r="AE15" s="41"/>
      <c r="AF15" s="41"/>
      <c r="AG15" s="4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17"/>
    </row>
    <row r="16" spans="1:46" ht="15.6" x14ac:dyDescent="0.3">
      <c r="A16" s="11" t="s">
        <v>528</v>
      </c>
      <c r="B16" s="11" t="s">
        <v>177</v>
      </c>
      <c r="C16" s="11" t="s">
        <v>139</v>
      </c>
      <c r="D16" s="10">
        <v>24</v>
      </c>
      <c r="E16" s="11" t="s">
        <v>141</v>
      </c>
      <c r="F16" s="11" t="s">
        <v>505</v>
      </c>
      <c r="G16" s="11" t="s">
        <v>529</v>
      </c>
      <c r="H16" s="10">
        <v>2200</v>
      </c>
      <c r="I16" s="10">
        <v>2</v>
      </c>
      <c r="J16" s="12">
        <v>46061</v>
      </c>
      <c r="K16" s="11" t="s">
        <v>493</v>
      </c>
      <c r="L16" s="10">
        <v>80000</v>
      </c>
      <c r="M16" s="10">
        <v>2</v>
      </c>
      <c r="N16" s="10">
        <v>12</v>
      </c>
      <c r="O16" s="11" t="s">
        <v>499</v>
      </c>
      <c r="P16" t="str">
        <f t="shared" si="0"/>
        <v>riya kapoor</v>
      </c>
      <c r="Q16" s="31" t="str">
        <f t="shared" si="1"/>
        <v>RIYA KAPOOR</v>
      </c>
      <c r="R16" s="31" t="str">
        <f t="shared" si="2"/>
        <v>Riya Kapoor</v>
      </c>
      <c r="S16" s="35">
        <v>22000.875</v>
      </c>
      <c r="T16" s="31"/>
      <c r="U16" s="31"/>
      <c r="V16" s="31"/>
      <c r="W16" s="40"/>
      <c r="X16" s="31">
        <v>12</v>
      </c>
      <c r="Y16" s="31">
        <f>ABS(X16)</f>
        <v>12</v>
      </c>
      <c r="Z16" s="35">
        <v>-22000.875</v>
      </c>
      <c r="AA16" s="41">
        <f>INT(Z16)</f>
        <v>-22001</v>
      </c>
      <c r="AB16" s="41"/>
      <c r="AC16" s="41"/>
      <c r="AD16" s="41"/>
      <c r="AE16" s="50" t="s">
        <v>684</v>
      </c>
      <c r="AF16" s="50" t="s">
        <v>683</v>
      </c>
      <c r="AG16" s="4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17"/>
      <c r="AS16" s="17"/>
    </row>
    <row r="17" spans="1:45" ht="16.8" x14ac:dyDescent="0.4">
      <c r="A17" s="11" t="s">
        <v>530</v>
      </c>
      <c r="B17" s="11" t="s">
        <v>531</v>
      </c>
      <c r="C17" s="11" t="s">
        <v>192</v>
      </c>
      <c r="D17" s="10">
        <v>39</v>
      </c>
      <c r="E17" s="11" t="s">
        <v>136</v>
      </c>
      <c r="F17" s="11" t="s">
        <v>89</v>
      </c>
      <c r="G17" s="11" t="s">
        <v>532</v>
      </c>
      <c r="H17" s="10">
        <v>32000</v>
      </c>
      <c r="I17" s="10">
        <v>1</v>
      </c>
      <c r="J17" s="12">
        <v>46063</v>
      </c>
      <c r="K17" s="11" t="s">
        <v>488</v>
      </c>
      <c r="L17" s="10">
        <v>300000</v>
      </c>
      <c r="M17" s="10">
        <v>5</v>
      </c>
      <c r="N17" s="10">
        <v>9.9</v>
      </c>
      <c r="O17" s="11" t="s">
        <v>489</v>
      </c>
      <c r="P17" t="str">
        <f t="shared" si="0"/>
        <v>deepak verma</v>
      </c>
      <c r="Q17" s="31" t="str">
        <f t="shared" si="1"/>
        <v>DEEPAK VERMA</v>
      </c>
      <c r="R17" s="31" t="str">
        <f t="shared" si="2"/>
        <v>Deepak Verma</v>
      </c>
      <c r="S17" s="31"/>
      <c r="T17" s="31"/>
      <c r="U17" s="31"/>
      <c r="V17" s="31"/>
      <c r="W17" s="40"/>
      <c r="X17" s="31">
        <v>-40</v>
      </c>
      <c r="Y17" s="31">
        <f>ABS(X17)</f>
        <v>40</v>
      </c>
      <c r="Z17" s="31"/>
      <c r="AA17" s="31"/>
      <c r="AB17" s="31"/>
      <c r="AC17" s="31"/>
      <c r="AD17" s="31"/>
      <c r="AE17" s="44">
        <v>45705</v>
      </c>
      <c r="AF17" s="3">
        <f ca="1">DATEDIF(AE17,TODAY(),"Y")</f>
        <v>1</v>
      </c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17"/>
      <c r="AS17" s="17"/>
    </row>
    <row r="18" spans="1:45" x14ac:dyDescent="0.3">
      <c r="A18" s="11" t="s">
        <v>533</v>
      </c>
      <c r="B18" s="11" t="s">
        <v>534</v>
      </c>
      <c r="C18" s="11" t="s">
        <v>176</v>
      </c>
      <c r="D18" s="10">
        <v>28</v>
      </c>
      <c r="E18" s="11" t="s">
        <v>141</v>
      </c>
      <c r="F18" s="11" t="s">
        <v>509</v>
      </c>
      <c r="G18" s="11" t="s">
        <v>535</v>
      </c>
      <c r="H18" s="10">
        <v>850</v>
      </c>
      <c r="I18" s="10">
        <v>4</v>
      </c>
      <c r="J18" s="12">
        <v>46065</v>
      </c>
      <c r="K18" s="11" t="s">
        <v>488</v>
      </c>
      <c r="L18" s="10">
        <v>175000</v>
      </c>
      <c r="M18" s="10">
        <v>3</v>
      </c>
      <c r="N18" s="10">
        <v>10.1</v>
      </c>
      <c r="O18" s="11" t="s">
        <v>489</v>
      </c>
      <c r="P18" t="str">
        <f t="shared" si="0"/>
        <v>sneha iyer</v>
      </c>
      <c r="Q18" s="31" t="str">
        <f t="shared" si="1"/>
        <v>SNEHA IYER</v>
      </c>
      <c r="R18" s="31" t="str">
        <f t="shared" si="2"/>
        <v>Sneha Iyer</v>
      </c>
      <c r="S18" s="31"/>
      <c r="T18" s="31"/>
      <c r="U18" s="31"/>
      <c r="V18" s="31"/>
      <c r="W18" s="40"/>
      <c r="X18" s="31">
        <v>32</v>
      </c>
      <c r="Y18" s="31">
        <f>ABS(X18)</f>
        <v>32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</row>
    <row r="19" spans="1:45" x14ac:dyDescent="0.3">
      <c r="A19" s="11" t="s">
        <v>536</v>
      </c>
      <c r="B19" s="11" t="s">
        <v>537</v>
      </c>
      <c r="C19" s="11" t="s">
        <v>224</v>
      </c>
      <c r="D19" s="10">
        <v>36</v>
      </c>
      <c r="E19" s="11" t="s">
        <v>136</v>
      </c>
      <c r="F19" s="11" t="s">
        <v>96</v>
      </c>
      <c r="G19" s="11" t="s">
        <v>538</v>
      </c>
      <c r="H19" s="10">
        <v>28000</v>
      </c>
      <c r="I19" s="10">
        <v>1</v>
      </c>
      <c r="J19" s="12">
        <v>46068</v>
      </c>
      <c r="K19" s="11" t="s">
        <v>493</v>
      </c>
      <c r="L19" s="10">
        <v>550000</v>
      </c>
      <c r="M19" s="10">
        <v>8</v>
      </c>
      <c r="N19" s="10">
        <v>8.6999999999999993</v>
      </c>
      <c r="O19" s="11" t="s">
        <v>489</v>
      </c>
      <c r="P19" t="str">
        <f t="shared" si="0"/>
        <v>karan singh</v>
      </c>
      <c r="Q19" s="31" t="str">
        <f t="shared" si="1"/>
        <v>KARAN SINGH</v>
      </c>
      <c r="R19" s="31" t="str">
        <f t="shared" si="2"/>
        <v>Karan Singh</v>
      </c>
      <c r="S19" s="31"/>
      <c r="T19" s="31"/>
      <c r="U19" s="31"/>
      <c r="V19" s="31"/>
      <c r="W19" s="31"/>
      <c r="X19" s="31">
        <v>-34</v>
      </c>
      <c r="Y19" s="31">
        <f>ABS(X19)</f>
        <v>34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</row>
    <row r="20" spans="1:45" x14ac:dyDescent="0.3">
      <c r="A20" s="11" t="s">
        <v>539</v>
      </c>
      <c r="B20" s="11" t="s">
        <v>169</v>
      </c>
      <c r="C20" s="11" t="s">
        <v>154</v>
      </c>
      <c r="D20" s="10">
        <v>44</v>
      </c>
      <c r="E20" s="11" t="s">
        <v>141</v>
      </c>
      <c r="F20" s="11" t="s">
        <v>491</v>
      </c>
      <c r="G20" s="11" t="s">
        <v>540</v>
      </c>
      <c r="H20" s="10">
        <v>4200</v>
      </c>
      <c r="I20" s="10">
        <v>2</v>
      </c>
      <c r="J20" s="12">
        <v>46070</v>
      </c>
      <c r="K20" s="11" t="s">
        <v>496</v>
      </c>
      <c r="L20" s="10">
        <v>225000</v>
      </c>
      <c r="M20" s="10">
        <v>5</v>
      </c>
      <c r="N20" s="10">
        <v>9.8000000000000007</v>
      </c>
      <c r="O20" s="11" t="s">
        <v>489</v>
      </c>
      <c r="P20" t="str">
        <f t="shared" si="0"/>
        <v>meena joshi</v>
      </c>
      <c r="Q20" s="31" t="str">
        <f t="shared" si="1"/>
        <v>MEENA JOSHI</v>
      </c>
      <c r="R20" s="31" t="str">
        <f t="shared" si="2"/>
        <v>Meena Joshi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</row>
    <row r="21" spans="1:45" x14ac:dyDescent="0.3">
      <c r="A21" s="11" t="s">
        <v>541</v>
      </c>
      <c r="B21" s="11" t="s">
        <v>193</v>
      </c>
      <c r="C21" s="11" t="s">
        <v>139</v>
      </c>
      <c r="D21" s="10">
        <v>51</v>
      </c>
      <c r="E21" s="11" t="s">
        <v>136</v>
      </c>
      <c r="F21" s="11" t="s">
        <v>89</v>
      </c>
      <c r="G21" s="11" t="s">
        <v>542</v>
      </c>
      <c r="H21" s="10">
        <v>45000</v>
      </c>
      <c r="I21" s="10">
        <v>1</v>
      </c>
      <c r="J21" s="12">
        <v>46073</v>
      </c>
      <c r="K21" s="11" t="s">
        <v>488</v>
      </c>
      <c r="L21" s="10">
        <v>600000</v>
      </c>
      <c r="M21" s="10">
        <v>10</v>
      </c>
      <c r="N21" s="10">
        <v>8.5</v>
      </c>
      <c r="O21" s="11" t="s">
        <v>489</v>
      </c>
      <c r="P21" t="str">
        <f t="shared" si="0"/>
        <v>rajesh kumar</v>
      </c>
      <c r="Q21" s="31" t="str">
        <f t="shared" si="1"/>
        <v>RAJESH KUMAR</v>
      </c>
      <c r="R21" s="31" t="str">
        <f t="shared" si="2"/>
        <v>Rajesh Kumar</v>
      </c>
      <c r="S21" s="52" t="s">
        <v>659</v>
      </c>
      <c r="T21" s="52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</row>
    <row r="22" spans="1:45" x14ac:dyDescent="0.3">
      <c r="A22" s="11" t="s">
        <v>543</v>
      </c>
      <c r="B22" s="11" t="s">
        <v>544</v>
      </c>
      <c r="C22" s="11" t="s">
        <v>144</v>
      </c>
      <c r="D22" s="10">
        <v>25</v>
      </c>
      <c r="E22" s="11" t="s">
        <v>141</v>
      </c>
      <c r="F22" s="11" t="s">
        <v>519</v>
      </c>
      <c r="G22" s="11" t="s">
        <v>545</v>
      </c>
      <c r="H22" s="10">
        <v>3800</v>
      </c>
      <c r="I22" s="10">
        <v>3</v>
      </c>
      <c r="J22" s="12">
        <v>46075</v>
      </c>
      <c r="K22" s="11" t="s">
        <v>493</v>
      </c>
      <c r="L22" s="10">
        <v>90000</v>
      </c>
      <c r="M22" s="10">
        <v>2</v>
      </c>
      <c r="N22" s="10">
        <v>11.8</v>
      </c>
      <c r="O22" s="11" t="s">
        <v>499</v>
      </c>
      <c r="P22" t="str">
        <f t="shared" si="0"/>
        <v>divya shah</v>
      </c>
      <c r="Q22" s="31" t="str">
        <f t="shared" si="1"/>
        <v>DIVYA SHAH</v>
      </c>
      <c r="R22" s="31" t="str">
        <f t="shared" si="2"/>
        <v>Divya Shah</v>
      </c>
      <c r="S22" s="53" t="s">
        <v>660</v>
      </c>
      <c r="T22" s="54" t="s">
        <v>662</v>
      </c>
      <c r="U22">
        <f>FIND("@",S22)</f>
        <v>4</v>
      </c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17"/>
    </row>
    <row r="23" spans="1:45" ht="16.2" customHeight="1" x14ac:dyDescent="0.3">
      <c r="A23" s="11" t="s">
        <v>546</v>
      </c>
      <c r="B23" s="11" t="s">
        <v>547</v>
      </c>
      <c r="C23" s="11" t="s">
        <v>501</v>
      </c>
      <c r="D23" s="10">
        <v>34</v>
      </c>
      <c r="E23" s="11" t="s">
        <v>136</v>
      </c>
      <c r="F23" s="11" t="s">
        <v>89</v>
      </c>
      <c r="G23" s="11" t="s">
        <v>92</v>
      </c>
      <c r="H23" s="10">
        <v>2500</v>
      </c>
      <c r="I23" s="10">
        <v>2</v>
      </c>
      <c r="J23" s="12">
        <v>46078</v>
      </c>
      <c r="K23" s="11" t="s">
        <v>488</v>
      </c>
      <c r="L23" s="10">
        <v>240000</v>
      </c>
      <c r="M23" s="10">
        <v>4</v>
      </c>
      <c r="N23" s="10">
        <v>10</v>
      </c>
      <c r="O23" s="11" t="s">
        <v>489</v>
      </c>
      <c r="P23" t="str">
        <f t="shared" si="0"/>
        <v>nitin arora</v>
      </c>
      <c r="Q23" s="31" t="str">
        <f t="shared" si="1"/>
        <v>NITIN ARORA</v>
      </c>
      <c r="R23" s="31" t="str">
        <f t="shared" si="2"/>
        <v>Nitin Arora</v>
      </c>
      <c r="S23" s="53" t="s">
        <v>685</v>
      </c>
      <c r="T23" s="55" t="s">
        <v>663</v>
      </c>
      <c r="U23">
        <f>FIND(".",S23)</f>
        <v>10</v>
      </c>
      <c r="V23" s="65" t="s">
        <v>687</v>
      </c>
      <c r="W23" s="65" t="s">
        <v>686</v>
      </c>
      <c r="X23" s="65" t="s">
        <v>688</v>
      </c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17"/>
      <c r="AS23" s="17"/>
    </row>
    <row r="24" spans="1:45" x14ac:dyDescent="0.3">
      <c r="A24" s="11" t="s">
        <v>548</v>
      </c>
      <c r="B24" s="11" t="s">
        <v>198</v>
      </c>
      <c r="C24" s="11" t="s">
        <v>160</v>
      </c>
      <c r="D24" s="10">
        <v>29</v>
      </c>
      <c r="E24" s="11" t="s">
        <v>141</v>
      </c>
      <c r="F24" s="11" t="s">
        <v>491</v>
      </c>
      <c r="G24" s="11" t="s">
        <v>549</v>
      </c>
      <c r="H24" s="10">
        <v>2200</v>
      </c>
      <c r="I24" s="10">
        <v>2</v>
      </c>
      <c r="J24" s="12">
        <v>46080</v>
      </c>
      <c r="K24" s="11" t="s">
        <v>511</v>
      </c>
      <c r="L24" s="10">
        <v>130000</v>
      </c>
      <c r="M24" s="10">
        <v>3</v>
      </c>
      <c r="N24" s="10">
        <v>10.6</v>
      </c>
      <c r="O24" s="11" t="s">
        <v>489</v>
      </c>
      <c r="P24" t="str">
        <f t="shared" si="0"/>
        <v>ayesha khan</v>
      </c>
      <c r="Q24" s="31" t="str">
        <f t="shared" si="1"/>
        <v>AYESHA KHAN</v>
      </c>
      <c r="R24" s="31" t="str">
        <f t="shared" si="2"/>
        <v>Ayesha Khan</v>
      </c>
      <c r="T24" s="51" t="s">
        <v>664</v>
      </c>
      <c r="U24" t="str">
        <f>MID(S22,FIND("@",S22)+1,FIND(".",S22)-FIND("@",S22)-1)</f>
        <v>GMAIL</v>
      </c>
      <c r="V24" s="31">
        <f>FIND("@",S22)</f>
        <v>4</v>
      </c>
      <c r="W24" s="31">
        <f>FIND(".",S22)</f>
        <v>10</v>
      </c>
      <c r="X24" s="31" t="str">
        <f>MID(S22,V24+1,(W24-1)-V24)</f>
        <v>GMAIL</v>
      </c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17"/>
      <c r="AS24" s="17"/>
    </row>
    <row r="25" spans="1:45" ht="16.8" x14ac:dyDescent="0.4">
      <c r="A25" s="11" t="s">
        <v>550</v>
      </c>
      <c r="B25" s="11" t="s">
        <v>551</v>
      </c>
      <c r="C25" s="11" t="s">
        <v>139</v>
      </c>
      <c r="D25" s="10">
        <v>47</v>
      </c>
      <c r="E25" s="11" t="s">
        <v>136</v>
      </c>
      <c r="F25" s="11" t="s">
        <v>96</v>
      </c>
      <c r="G25" s="11" t="s">
        <v>552</v>
      </c>
      <c r="H25" s="10">
        <v>35000</v>
      </c>
      <c r="I25" s="10">
        <v>1</v>
      </c>
      <c r="J25" s="12">
        <v>46082</v>
      </c>
      <c r="K25" s="11" t="s">
        <v>496</v>
      </c>
      <c r="L25" s="10">
        <v>500000</v>
      </c>
      <c r="M25" s="10">
        <v>7</v>
      </c>
      <c r="N25" s="10">
        <v>9</v>
      </c>
      <c r="O25" s="11" t="s">
        <v>489</v>
      </c>
      <c r="P25" t="str">
        <f t="shared" si="0"/>
        <v>mohit agarwal</v>
      </c>
      <c r="Q25" s="31" t="str">
        <f t="shared" si="1"/>
        <v>MOHIT AGARWAL</v>
      </c>
      <c r="R25" s="31" t="str">
        <f t="shared" si="2"/>
        <v>Mohit Agarwal</v>
      </c>
      <c r="U25" t="str">
        <f>MID(S23,FIND("@",S23)+1,FIND(".",S23)-FIND("@",S23)-1)</f>
        <v>YAHOO</v>
      </c>
      <c r="V25" s="31">
        <f>FIND("@",S23)</f>
        <v>4</v>
      </c>
      <c r="W25" s="31">
        <f>FIND(".",S23)</f>
        <v>10</v>
      </c>
      <c r="X25" s="31" t="str">
        <f>MID(S23,V25+1,(W25-1)-V25)</f>
        <v>YAHOO</v>
      </c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"/>
    </row>
    <row r="26" spans="1:45" x14ac:dyDescent="0.3">
      <c r="A26" s="11" t="s">
        <v>553</v>
      </c>
      <c r="B26" s="11" t="s">
        <v>554</v>
      </c>
      <c r="C26" s="11" t="s">
        <v>224</v>
      </c>
      <c r="D26" s="10">
        <v>23</v>
      </c>
      <c r="E26" s="11" t="s">
        <v>141</v>
      </c>
      <c r="F26" s="11" t="s">
        <v>505</v>
      </c>
      <c r="G26" s="11" t="s">
        <v>555</v>
      </c>
      <c r="H26" s="10">
        <v>2900</v>
      </c>
      <c r="I26" s="10">
        <v>2</v>
      </c>
      <c r="J26" s="12">
        <v>46084</v>
      </c>
      <c r="K26" s="11" t="s">
        <v>488</v>
      </c>
      <c r="L26" s="10">
        <v>70000</v>
      </c>
      <c r="M26" s="10">
        <v>2</v>
      </c>
      <c r="N26" s="10">
        <v>12.5</v>
      </c>
      <c r="O26" s="11" t="s">
        <v>499</v>
      </c>
      <c r="P26" t="str">
        <f t="shared" si="0"/>
        <v>isha gupta</v>
      </c>
      <c r="Q26" s="31" t="str">
        <f t="shared" si="1"/>
        <v>ISHA GUPTA</v>
      </c>
      <c r="R26" s="31" t="str">
        <f t="shared" si="2"/>
        <v>Isha Gupta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</row>
    <row r="27" spans="1:45" x14ac:dyDescent="0.3">
      <c r="A27" s="11" t="s">
        <v>556</v>
      </c>
      <c r="B27" s="11" t="s">
        <v>557</v>
      </c>
      <c r="C27" s="11" t="s">
        <v>172</v>
      </c>
      <c r="D27" s="10">
        <v>37</v>
      </c>
      <c r="E27" s="11" t="s">
        <v>136</v>
      </c>
      <c r="F27" s="11" t="s">
        <v>89</v>
      </c>
      <c r="G27" s="11" t="s">
        <v>558</v>
      </c>
      <c r="H27" s="10">
        <v>6500</v>
      </c>
      <c r="I27" s="10">
        <v>1</v>
      </c>
      <c r="J27" s="12">
        <v>46086</v>
      </c>
      <c r="K27" s="11" t="s">
        <v>493</v>
      </c>
      <c r="L27" s="10">
        <v>280000</v>
      </c>
      <c r="M27" s="10">
        <v>5</v>
      </c>
      <c r="N27" s="10">
        <v>9.4</v>
      </c>
      <c r="O27" s="11" t="s">
        <v>489</v>
      </c>
      <c r="P27" t="str">
        <f t="shared" si="0"/>
        <v>varun bansal</v>
      </c>
      <c r="Q27" s="31" t="str">
        <f t="shared" si="1"/>
        <v>VARUN BANSAL</v>
      </c>
      <c r="R27" s="31" t="str">
        <f t="shared" si="2"/>
        <v>Varun Bansal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</row>
    <row r="28" spans="1:45" x14ac:dyDescent="0.3">
      <c r="A28" s="11" t="s">
        <v>559</v>
      </c>
      <c r="B28" s="11" t="s">
        <v>560</v>
      </c>
      <c r="C28" s="11" t="s">
        <v>189</v>
      </c>
      <c r="D28" s="10">
        <v>33</v>
      </c>
      <c r="E28" s="11" t="s">
        <v>141</v>
      </c>
      <c r="F28" s="11" t="s">
        <v>509</v>
      </c>
      <c r="G28" s="11" t="s">
        <v>561</v>
      </c>
      <c r="H28" s="10">
        <v>1800</v>
      </c>
      <c r="I28" s="10">
        <v>3</v>
      </c>
      <c r="J28" s="12">
        <v>46088</v>
      </c>
      <c r="K28" s="11" t="s">
        <v>488</v>
      </c>
      <c r="L28" s="10">
        <v>190000</v>
      </c>
      <c r="M28" s="10">
        <v>4</v>
      </c>
      <c r="N28" s="10">
        <v>10.3</v>
      </c>
      <c r="O28" s="11" t="s">
        <v>489</v>
      </c>
      <c r="P28" t="str">
        <f t="shared" si="0"/>
        <v>shweta nair</v>
      </c>
      <c r="Q28" s="31" t="str">
        <f t="shared" si="1"/>
        <v>SHWETA NAIR</v>
      </c>
      <c r="R28" s="31" t="str">
        <f t="shared" si="2"/>
        <v>Shweta Nair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</row>
    <row r="29" spans="1:45" x14ac:dyDescent="0.3">
      <c r="A29" s="11" t="s">
        <v>562</v>
      </c>
      <c r="B29" s="11" t="s">
        <v>563</v>
      </c>
      <c r="C29" s="11" t="s">
        <v>192</v>
      </c>
      <c r="D29" s="10">
        <v>40</v>
      </c>
      <c r="E29" s="11" t="s">
        <v>136</v>
      </c>
      <c r="F29" s="11" t="s">
        <v>89</v>
      </c>
      <c r="G29" s="11" t="s">
        <v>564</v>
      </c>
      <c r="H29" s="10">
        <v>42000</v>
      </c>
      <c r="I29" s="10">
        <v>1</v>
      </c>
      <c r="J29" s="12">
        <v>46091</v>
      </c>
      <c r="K29" s="11" t="s">
        <v>496</v>
      </c>
      <c r="L29" s="10">
        <v>450000</v>
      </c>
      <c r="M29" s="10">
        <v>7</v>
      </c>
      <c r="N29" s="10">
        <v>8.9</v>
      </c>
      <c r="O29" s="11" t="s">
        <v>489</v>
      </c>
      <c r="P29" t="str">
        <f t="shared" si="0"/>
        <v>akash mishra</v>
      </c>
      <c r="Q29" s="31" t="str">
        <f t="shared" si="1"/>
        <v>AKASH MISHRA</v>
      </c>
      <c r="R29" s="31" t="str">
        <f t="shared" si="2"/>
        <v>Akash Mishra</v>
      </c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</row>
    <row r="30" spans="1:45" x14ac:dyDescent="0.3">
      <c r="A30" s="11" t="s">
        <v>565</v>
      </c>
      <c r="B30" s="11" t="s">
        <v>566</v>
      </c>
      <c r="C30" s="11" t="s">
        <v>139</v>
      </c>
      <c r="D30" s="10">
        <v>27</v>
      </c>
      <c r="E30" s="11" t="s">
        <v>141</v>
      </c>
      <c r="F30" s="11" t="s">
        <v>491</v>
      </c>
      <c r="G30" s="11" t="s">
        <v>567</v>
      </c>
      <c r="H30" s="10">
        <v>3200</v>
      </c>
      <c r="I30" s="10">
        <v>2</v>
      </c>
      <c r="J30" s="12">
        <v>46093</v>
      </c>
      <c r="K30" s="11" t="s">
        <v>488</v>
      </c>
      <c r="L30" s="10">
        <v>110000</v>
      </c>
      <c r="M30" s="10">
        <v>2</v>
      </c>
      <c r="N30" s="10">
        <v>11</v>
      </c>
      <c r="O30" s="11" t="s">
        <v>489</v>
      </c>
      <c r="P30" t="str">
        <f t="shared" si="0"/>
        <v>tanya sethi</v>
      </c>
      <c r="Q30" s="31" t="str">
        <f t="shared" si="1"/>
        <v>TANYA SETHI</v>
      </c>
      <c r="R30" s="31" t="str">
        <f t="shared" si="2"/>
        <v>Tanya Sethi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</row>
    <row r="31" spans="1:45" x14ac:dyDescent="0.3">
      <c r="A31" s="11" t="s">
        <v>568</v>
      </c>
      <c r="B31" s="11" t="s">
        <v>569</v>
      </c>
      <c r="C31" s="11" t="s">
        <v>150</v>
      </c>
      <c r="D31" s="10">
        <v>46</v>
      </c>
      <c r="E31" s="11" t="s">
        <v>136</v>
      </c>
      <c r="F31" s="11" t="s">
        <v>96</v>
      </c>
      <c r="G31" s="11" t="s">
        <v>570</v>
      </c>
      <c r="H31" s="10">
        <v>25000</v>
      </c>
      <c r="I31" s="10">
        <v>1</v>
      </c>
      <c r="J31" s="12">
        <v>46096</v>
      </c>
      <c r="K31" s="11" t="s">
        <v>493</v>
      </c>
      <c r="L31" s="10">
        <v>525000</v>
      </c>
      <c r="M31" s="10">
        <v>8</v>
      </c>
      <c r="N31" s="10">
        <v>8.6</v>
      </c>
      <c r="O31" s="11" t="s">
        <v>489</v>
      </c>
      <c r="P31" t="str">
        <f t="shared" si="0"/>
        <v>sanjay rao</v>
      </c>
      <c r="Q31" s="31" t="str">
        <f t="shared" si="1"/>
        <v>SANJAY RAO</v>
      </c>
      <c r="R31" s="31" t="str">
        <f t="shared" si="2"/>
        <v>Sanjay Rao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</row>
    <row r="32" spans="1:45" x14ac:dyDescent="0.3">
      <c r="A32" s="11" t="s">
        <v>571</v>
      </c>
      <c r="B32" s="11" t="s">
        <v>572</v>
      </c>
      <c r="C32" s="11" t="s">
        <v>168</v>
      </c>
      <c r="D32" s="10">
        <v>31</v>
      </c>
      <c r="E32" s="11" t="s">
        <v>141</v>
      </c>
      <c r="F32" s="11" t="s">
        <v>505</v>
      </c>
      <c r="G32" s="11" t="s">
        <v>573</v>
      </c>
      <c r="H32" s="10">
        <v>950</v>
      </c>
      <c r="I32" s="10">
        <v>4</v>
      </c>
      <c r="J32" s="12">
        <v>46098</v>
      </c>
      <c r="K32" s="11" t="s">
        <v>488</v>
      </c>
      <c r="L32" s="10">
        <v>145000</v>
      </c>
      <c r="M32" s="10">
        <v>3</v>
      </c>
      <c r="N32" s="10">
        <v>10.8</v>
      </c>
      <c r="O32" s="11" t="s">
        <v>489</v>
      </c>
      <c r="P32" t="str">
        <f t="shared" si="0"/>
        <v>nisha patel</v>
      </c>
      <c r="Q32" s="31" t="str">
        <f t="shared" si="1"/>
        <v>NISHA PATEL</v>
      </c>
      <c r="R32" s="31" t="str">
        <f t="shared" si="2"/>
        <v>Nisha Patel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spans="1:43" x14ac:dyDescent="0.3">
      <c r="A33" s="11" t="s">
        <v>574</v>
      </c>
      <c r="B33" s="11" t="s">
        <v>575</v>
      </c>
      <c r="C33" s="11" t="s">
        <v>576</v>
      </c>
      <c r="D33" s="10">
        <v>35</v>
      </c>
      <c r="E33" s="11" t="s">
        <v>136</v>
      </c>
      <c r="F33" s="11" t="s">
        <v>89</v>
      </c>
      <c r="G33" s="11" t="s">
        <v>104</v>
      </c>
      <c r="H33" s="10">
        <v>12500</v>
      </c>
      <c r="I33" s="10">
        <v>1</v>
      </c>
      <c r="J33" s="12">
        <v>46101</v>
      </c>
      <c r="K33" s="11" t="s">
        <v>496</v>
      </c>
      <c r="L33" s="10">
        <v>260000</v>
      </c>
      <c r="M33" s="10">
        <v>5</v>
      </c>
      <c r="N33" s="10">
        <v>9.6999999999999993</v>
      </c>
      <c r="O33" s="11" t="s">
        <v>489</v>
      </c>
      <c r="P33" t="str">
        <f t="shared" si="0"/>
        <v>abhishek roy</v>
      </c>
      <c r="Q33" s="31" t="str">
        <f t="shared" si="1"/>
        <v>ABHISHEK ROY</v>
      </c>
      <c r="R33" s="31" t="str">
        <f t="shared" si="2"/>
        <v>Abhishek Roy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</row>
    <row r="34" spans="1:43" x14ac:dyDescent="0.3">
      <c r="A34" s="11" t="s">
        <v>577</v>
      </c>
      <c r="B34" s="11" t="s">
        <v>578</v>
      </c>
      <c r="C34" s="11" t="s">
        <v>139</v>
      </c>
      <c r="D34" s="10">
        <v>26</v>
      </c>
      <c r="E34" s="11" t="s">
        <v>141</v>
      </c>
      <c r="F34" s="11" t="s">
        <v>491</v>
      </c>
      <c r="G34" s="11" t="s">
        <v>579</v>
      </c>
      <c r="H34" s="10">
        <v>1200</v>
      </c>
      <c r="I34" s="10">
        <v>3</v>
      </c>
      <c r="J34" s="12">
        <v>46103</v>
      </c>
      <c r="K34" s="11" t="s">
        <v>488</v>
      </c>
      <c r="L34" s="10">
        <v>95000</v>
      </c>
      <c r="M34" s="10">
        <v>2</v>
      </c>
      <c r="N34" s="10">
        <v>11.4</v>
      </c>
      <c r="O34" s="11" t="s">
        <v>499</v>
      </c>
      <c r="P34" t="str">
        <f t="shared" si="0"/>
        <v>komal sharma</v>
      </c>
      <c r="Q34" s="31" t="str">
        <f t="shared" si="1"/>
        <v>KOMAL SHARMA</v>
      </c>
      <c r="R34" s="31" t="str">
        <f t="shared" si="2"/>
        <v>Komal Sharma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</row>
    <row r="35" spans="1:43" x14ac:dyDescent="0.3">
      <c r="A35" s="11" t="s">
        <v>580</v>
      </c>
      <c r="B35" s="11" t="s">
        <v>581</v>
      </c>
      <c r="C35" s="11" t="s">
        <v>185</v>
      </c>
      <c r="D35" s="10">
        <v>43</v>
      </c>
      <c r="E35" s="11" t="s">
        <v>136</v>
      </c>
      <c r="F35" s="11" t="s">
        <v>509</v>
      </c>
      <c r="G35" s="11" t="s">
        <v>582</v>
      </c>
      <c r="H35" s="10">
        <v>1600</v>
      </c>
      <c r="I35" s="10">
        <v>5</v>
      </c>
      <c r="J35" s="12">
        <v>46105</v>
      </c>
      <c r="K35" s="11" t="s">
        <v>511</v>
      </c>
      <c r="L35" s="10">
        <v>375000</v>
      </c>
      <c r="M35" s="10">
        <v>6</v>
      </c>
      <c r="N35" s="10">
        <v>9.1</v>
      </c>
      <c r="O35" s="11" t="s">
        <v>489</v>
      </c>
      <c r="P35" t="str">
        <f t="shared" si="0"/>
        <v>ravi thakur</v>
      </c>
      <c r="Q35" s="31" t="str">
        <f t="shared" si="1"/>
        <v>RAVI THAKUR</v>
      </c>
      <c r="R35" s="31" t="str">
        <f t="shared" si="2"/>
        <v>Ravi Thakur</v>
      </c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</row>
    <row r="36" spans="1:43" x14ac:dyDescent="0.3">
      <c r="A36" s="11" t="s">
        <v>583</v>
      </c>
      <c r="B36" s="11" t="s">
        <v>584</v>
      </c>
      <c r="C36" s="11" t="s">
        <v>224</v>
      </c>
      <c r="D36" s="10">
        <v>30</v>
      </c>
      <c r="E36" s="11" t="s">
        <v>141</v>
      </c>
      <c r="F36" s="11" t="s">
        <v>519</v>
      </c>
      <c r="G36" s="11" t="s">
        <v>585</v>
      </c>
      <c r="H36" s="10">
        <v>8500</v>
      </c>
      <c r="I36" s="10">
        <v>1</v>
      </c>
      <c r="J36" s="12">
        <v>46107</v>
      </c>
      <c r="K36" s="11" t="s">
        <v>493</v>
      </c>
      <c r="L36" s="10">
        <v>210000</v>
      </c>
      <c r="M36" s="10">
        <v>4</v>
      </c>
      <c r="N36" s="10">
        <v>10</v>
      </c>
      <c r="O36" s="11" t="s">
        <v>489</v>
      </c>
      <c r="P36" t="str">
        <f t="shared" si="0"/>
        <v>preeti gupta</v>
      </c>
      <c r="Q36" s="31" t="str">
        <f t="shared" si="1"/>
        <v>PREETI GUPTA</v>
      </c>
      <c r="R36" s="31" t="str">
        <f t="shared" si="2"/>
        <v>Preeti Gupta</v>
      </c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</row>
    <row r="37" spans="1:43" x14ac:dyDescent="0.3">
      <c r="A37" s="11" t="s">
        <v>586</v>
      </c>
      <c r="B37" s="11" t="s">
        <v>587</v>
      </c>
      <c r="C37" s="11" t="s">
        <v>139</v>
      </c>
      <c r="D37" s="10">
        <v>49</v>
      </c>
      <c r="E37" s="11" t="s">
        <v>136</v>
      </c>
      <c r="F37" s="11" t="s">
        <v>89</v>
      </c>
      <c r="G37" s="11" t="s">
        <v>588</v>
      </c>
      <c r="H37" s="10">
        <v>30000</v>
      </c>
      <c r="I37" s="10">
        <v>1</v>
      </c>
      <c r="J37" s="12">
        <v>46109</v>
      </c>
      <c r="K37" s="11" t="s">
        <v>488</v>
      </c>
      <c r="L37" s="10">
        <v>650000</v>
      </c>
      <c r="M37" s="10">
        <v>10</v>
      </c>
      <c r="N37" s="10">
        <v>8.4</v>
      </c>
      <c r="O37" s="11" t="s">
        <v>489</v>
      </c>
      <c r="P37" t="str">
        <f t="shared" si="0"/>
        <v>ajay kumar</v>
      </c>
      <c r="Q37" s="31" t="str">
        <f t="shared" si="1"/>
        <v>AJAY KUMAR</v>
      </c>
      <c r="R37" s="31" t="str">
        <f t="shared" si="2"/>
        <v>Ajay Kumar</v>
      </c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</row>
    <row r="38" spans="1:43" x14ac:dyDescent="0.3">
      <c r="A38" s="11" t="s">
        <v>589</v>
      </c>
      <c r="B38" s="11" t="s">
        <v>590</v>
      </c>
      <c r="C38" s="11" t="s">
        <v>172</v>
      </c>
      <c r="D38" s="10">
        <v>28</v>
      </c>
      <c r="E38" s="11" t="s">
        <v>141</v>
      </c>
      <c r="F38" s="11" t="s">
        <v>491</v>
      </c>
      <c r="G38" s="11" t="s">
        <v>591</v>
      </c>
      <c r="H38" s="10">
        <v>4500</v>
      </c>
      <c r="I38" s="10">
        <v>1</v>
      </c>
      <c r="J38" s="12">
        <v>46111</v>
      </c>
      <c r="K38" s="11" t="s">
        <v>488</v>
      </c>
      <c r="L38" s="10">
        <v>125000</v>
      </c>
      <c r="M38" s="10">
        <v>3</v>
      </c>
      <c r="N38" s="10">
        <v>10.7</v>
      </c>
      <c r="O38" s="11" t="s">
        <v>489</v>
      </c>
      <c r="P38" t="str">
        <f t="shared" si="0"/>
        <v>mansi jain</v>
      </c>
      <c r="Q38" s="31" t="str">
        <f t="shared" si="1"/>
        <v>MANSI JAIN</v>
      </c>
      <c r="R38" s="31" t="str">
        <f t="shared" si="2"/>
        <v>Mansi Jain</v>
      </c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</row>
    <row r="39" spans="1:43" x14ac:dyDescent="0.3">
      <c r="A39" s="11" t="s">
        <v>592</v>
      </c>
      <c r="B39" s="11" t="s">
        <v>593</v>
      </c>
      <c r="C39" s="11" t="s">
        <v>501</v>
      </c>
      <c r="D39" s="10">
        <v>52</v>
      </c>
      <c r="E39" s="11" t="s">
        <v>136</v>
      </c>
      <c r="F39" s="11" t="s">
        <v>96</v>
      </c>
      <c r="G39" s="11" t="s">
        <v>594</v>
      </c>
      <c r="H39" s="10">
        <v>32000</v>
      </c>
      <c r="I39" s="10">
        <v>1</v>
      </c>
      <c r="J39" s="12">
        <v>46114</v>
      </c>
      <c r="K39" s="11" t="s">
        <v>496</v>
      </c>
      <c r="L39" s="10">
        <v>700000</v>
      </c>
      <c r="M39" s="10">
        <v>10</v>
      </c>
      <c r="N39" s="10">
        <v>8.3000000000000007</v>
      </c>
      <c r="O39" s="11" t="s">
        <v>489</v>
      </c>
      <c r="P39" t="str">
        <f t="shared" si="0"/>
        <v>prakash singh</v>
      </c>
      <c r="Q39" s="31" t="str">
        <f t="shared" si="1"/>
        <v>PRAKASH SINGH</v>
      </c>
      <c r="R39" s="31" t="str">
        <f t="shared" si="2"/>
        <v>Prakash Singh</v>
      </c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</row>
    <row r="40" spans="1:43" x14ac:dyDescent="0.3">
      <c r="A40" s="11" t="s">
        <v>595</v>
      </c>
      <c r="B40" s="11" t="s">
        <v>596</v>
      </c>
      <c r="C40" s="11" t="s">
        <v>576</v>
      </c>
      <c r="D40" s="10">
        <v>25</v>
      </c>
      <c r="E40" s="11" t="s">
        <v>141</v>
      </c>
      <c r="F40" s="11" t="s">
        <v>505</v>
      </c>
      <c r="G40" s="11" t="s">
        <v>597</v>
      </c>
      <c r="H40" s="10">
        <v>750</v>
      </c>
      <c r="I40" s="10">
        <v>5</v>
      </c>
      <c r="J40" s="12">
        <v>46116</v>
      </c>
      <c r="K40" s="11" t="s">
        <v>493</v>
      </c>
      <c r="L40" s="10">
        <v>60000</v>
      </c>
      <c r="M40" s="10">
        <v>2</v>
      </c>
      <c r="N40" s="10">
        <v>12.8</v>
      </c>
      <c r="O40" s="11" t="s">
        <v>499</v>
      </c>
      <c r="P40" t="str">
        <f t="shared" si="0"/>
        <v>ritika das</v>
      </c>
      <c r="Q40" s="31" t="str">
        <f t="shared" si="1"/>
        <v>RITIKA DAS</v>
      </c>
      <c r="R40" s="31" t="str">
        <f t="shared" si="2"/>
        <v>Ritika Das</v>
      </c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</row>
    <row r="41" spans="1:43" x14ac:dyDescent="0.3">
      <c r="A41" s="11" t="s">
        <v>598</v>
      </c>
      <c r="B41" s="11" t="s">
        <v>599</v>
      </c>
      <c r="C41" s="11" t="s">
        <v>192</v>
      </c>
      <c r="D41" s="10">
        <v>36</v>
      </c>
      <c r="E41" s="11" t="s">
        <v>136</v>
      </c>
      <c r="F41" s="11" t="s">
        <v>89</v>
      </c>
      <c r="G41" s="11" t="s">
        <v>600</v>
      </c>
      <c r="H41" s="10">
        <v>38000</v>
      </c>
      <c r="I41" s="10">
        <v>1</v>
      </c>
      <c r="J41" s="12">
        <v>46118</v>
      </c>
      <c r="K41" s="11" t="s">
        <v>488</v>
      </c>
      <c r="L41" s="10">
        <v>325000</v>
      </c>
      <c r="M41" s="10">
        <v>5</v>
      </c>
      <c r="N41" s="10">
        <v>9.5</v>
      </c>
      <c r="O41" s="11" t="s">
        <v>489</v>
      </c>
      <c r="P41" t="str">
        <f t="shared" si="0"/>
        <v>manoj yadav</v>
      </c>
      <c r="Q41" s="31" t="str">
        <f t="shared" si="1"/>
        <v>MANOJ YADAV</v>
      </c>
      <c r="R41" s="31" t="str">
        <f t="shared" si="2"/>
        <v>Manoj Yadav</v>
      </c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</row>
    <row r="42" spans="1:43" x14ac:dyDescent="0.3">
      <c r="A42" s="11" t="s">
        <v>601</v>
      </c>
      <c r="B42" s="11" t="s">
        <v>602</v>
      </c>
      <c r="C42" s="11" t="s">
        <v>154</v>
      </c>
      <c r="D42" s="10">
        <v>32</v>
      </c>
      <c r="E42" s="11" t="s">
        <v>141</v>
      </c>
      <c r="F42" s="11" t="s">
        <v>509</v>
      </c>
      <c r="G42" s="11" t="s">
        <v>603</v>
      </c>
      <c r="H42" s="10">
        <v>650</v>
      </c>
      <c r="I42" s="10">
        <v>6</v>
      </c>
      <c r="J42" s="12">
        <v>46120</v>
      </c>
      <c r="K42" s="11" t="s">
        <v>488</v>
      </c>
      <c r="L42" s="10">
        <v>155000</v>
      </c>
      <c r="M42" s="10">
        <v>3</v>
      </c>
      <c r="N42" s="10">
        <v>10.199999999999999</v>
      </c>
      <c r="O42" s="11" t="s">
        <v>489</v>
      </c>
      <c r="P42" t="str">
        <f t="shared" si="0"/>
        <v>sakshi mehta</v>
      </c>
      <c r="Q42" s="31" t="str">
        <f t="shared" si="1"/>
        <v>SAKSHI MEHTA</v>
      </c>
      <c r="R42" s="31" t="str">
        <f t="shared" si="2"/>
        <v>Sakshi Mehta</v>
      </c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</row>
    <row r="43" spans="1:43" x14ac:dyDescent="0.3">
      <c r="A43" s="11" t="s">
        <v>604</v>
      </c>
      <c r="B43" s="11" t="s">
        <v>605</v>
      </c>
      <c r="C43" s="11" t="s">
        <v>139</v>
      </c>
      <c r="D43" s="10">
        <v>29</v>
      </c>
      <c r="E43" s="11" t="s">
        <v>141</v>
      </c>
      <c r="F43" s="11" t="s">
        <v>89</v>
      </c>
      <c r="G43" s="11" t="s">
        <v>606</v>
      </c>
      <c r="H43" s="10">
        <v>2200</v>
      </c>
      <c r="I43" s="10">
        <v>2</v>
      </c>
      <c r="J43" s="12">
        <v>46122</v>
      </c>
      <c r="K43" s="11" t="s">
        <v>493</v>
      </c>
      <c r="L43" s="10">
        <v>100000</v>
      </c>
      <c r="M43" s="10">
        <v>2</v>
      </c>
      <c r="N43" s="10">
        <v>11.6</v>
      </c>
      <c r="O43" s="11" t="s">
        <v>489</v>
      </c>
      <c r="P43" t="str">
        <f t="shared" si="0"/>
        <v>varsha kapoor</v>
      </c>
      <c r="Q43" s="31" t="str">
        <f t="shared" si="1"/>
        <v>VARSHA KAPOOR</v>
      </c>
      <c r="R43" s="31" t="str">
        <f t="shared" si="2"/>
        <v>Varsha Kapoor</v>
      </c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</row>
    <row r="44" spans="1:43" x14ac:dyDescent="0.3">
      <c r="A44" s="11" t="s">
        <v>607</v>
      </c>
      <c r="B44" s="11" t="s">
        <v>608</v>
      </c>
      <c r="C44" s="11" t="s">
        <v>168</v>
      </c>
      <c r="D44" s="10">
        <v>45</v>
      </c>
      <c r="E44" s="11" t="s">
        <v>136</v>
      </c>
      <c r="F44" s="11" t="s">
        <v>96</v>
      </c>
      <c r="G44" s="11" t="s">
        <v>95</v>
      </c>
      <c r="H44" s="10">
        <v>7500</v>
      </c>
      <c r="I44" s="10">
        <v>2</v>
      </c>
      <c r="J44" s="12">
        <v>46124</v>
      </c>
      <c r="K44" s="11" t="s">
        <v>496</v>
      </c>
      <c r="L44" s="10">
        <v>420000</v>
      </c>
      <c r="M44" s="10">
        <v>6</v>
      </c>
      <c r="N44" s="10">
        <v>9</v>
      </c>
      <c r="O44" s="11" t="s">
        <v>489</v>
      </c>
      <c r="P44" t="str">
        <f t="shared" si="0"/>
        <v>harish patel</v>
      </c>
      <c r="Q44" s="31" t="str">
        <f t="shared" si="1"/>
        <v>HARISH PATEL</v>
      </c>
      <c r="R44" s="31" t="str">
        <f t="shared" si="2"/>
        <v>Harish Patel</v>
      </c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</row>
    <row r="45" spans="1:43" x14ac:dyDescent="0.3">
      <c r="A45" s="11" t="s">
        <v>609</v>
      </c>
      <c r="B45" s="11" t="s">
        <v>610</v>
      </c>
      <c r="C45" s="11" t="s">
        <v>224</v>
      </c>
      <c r="D45" s="10">
        <v>34</v>
      </c>
      <c r="E45" s="11" t="s">
        <v>141</v>
      </c>
      <c r="F45" s="11" t="s">
        <v>491</v>
      </c>
      <c r="G45" s="11" t="s">
        <v>611</v>
      </c>
      <c r="H45" s="10">
        <v>1800</v>
      </c>
      <c r="I45" s="10">
        <v>3</v>
      </c>
      <c r="J45" s="12">
        <v>46127</v>
      </c>
      <c r="K45" s="11" t="s">
        <v>488</v>
      </c>
      <c r="L45" s="10">
        <v>140000</v>
      </c>
      <c r="M45" s="10">
        <v>3</v>
      </c>
      <c r="N45" s="10">
        <v>10.5</v>
      </c>
      <c r="O45" s="11" t="s">
        <v>489</v>
      </c>
      <c r="P45" t="str">
        <f t="shared" si="0"/>
        <v>neelam verma</v>
      </c>
      <c r="Q45" s="31" t="str">
        <f t="shared" si="1"/>
        <v>NEELAM VERMA</v>
      </c>
      <c r="R45" s="31" t="str">
        <f t="shared" si="2"/>
        <v>Neelam Verma</v>
      </c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</row>
    <row r="46" spans="1:43" x14ac:dyDescent="0.3">
      <c r="A46" s="11" t="s">
        <v>612</v>
      </c>
      <c r="B46" s="11" t="s">
        <v>613</v>
      </c>
      <c r="C46" s="11" t="s">
        <v>139</v>
      </c>
      <c r="D46" s="10">
        <v>55</v>
      </c>
      <c r="E46" s="11" t="s">
        <v>136</v>
      </c>
      <c r="F46" s="11" t="s">
        <v>89</v>
      </c>
      <c r="G46" s="11" t="s">
        <v>532</v>
      </c>
      <c r="H46" s="10">
        <v>35000</v>
      </c>
      <c r="I46" s="10">
        <v>1</v>
      </c>
      <c r="J46" s="12">
        <v>46129</v>
      </c>
      <c r="K46" s="11" t="s">
        <v>511</v>
      </c>
      <c r="L46" s="10">
        <v>800000</v>
      </c>
      <c r="M46" s="10">
        <v>10</v>
      </c>
      <c r="N46" s="10">
        <v>8.1999999999999993</v>
      </c>
      <c r="O46" s="11" t="s">
        <v>489</v>
      </c>
      <c r="P46" t="str">
        <f t="shared" si="0"/>
        <v>rakesh sharma</v>
      </c>
      <c r="Q46" s="31" t="str">
        <f t="shared" si="1"/>
        <v>RAKESH SHARMA</v>
      </c>
      <c r="R46" s="31" t="str">
        <f t="shared" si="2"/>
        <v>Rakesh Sharma</v>
      </c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</row>
    <row r="47" spans="1:43" x14ac:dyDescent="0.3">
      <c r="A47" s="11" t="s">
        <v>614</v>
      </c>
      <c r="B47" s="11" t="s">
        <v>615</v>
      </c>
      <c r="C47" s="11" t="s">
        <v>144</v>
      </c>
      <c r="D47" s="10">
        <v>27</v>
      </c>
      <c r="E47" s="11" t="s">
        <v>141</v>
      </c>
      <c r="F47" s="11" t="s">
        <v>519</v>
      </c>
      <c r="G47" s="11" t="s">
        <v>616</v>
      </c>
      <c r="H47" s="10">
        <v>9500</v>
      </c>
      <c r="I47" s="10">
        <v>1</v>
      </c>
      <c r="J47" s="12">
        <v>46131</v>
      </c>
      <c r="K47" s="11" t="s">
        <v>493</v>
      </c>
      <c r="L47" s="10">
        <v>115000</v>
      </c>
      <c r="M47" s="10">
        <v>2</v>
      </c>
      <c r="N47" s="10">
        <v>11.1</v>
      </c>
      <c r="O47" s="11" t="s">
        <v>499</v>
      </c>
      <c r="P47" t="str">
        <f t="shared" si="0"/>
        <v>pallavi singh</v>
      </c>
      <c r="Q47" s="31" t="str">
        <f t="shared" si="1"/>
        <v>PALLAVI SINGH</v>
      </c>
      <c r="R47" s="31" t="str">
        <f t="shared" si="2"/>
        <v>Pallavi Singh</v>
      </c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</row>
    <row r="48" spans="1:43" x14ac:dyDescent="0.3">
      <c r="A48" s="11" t="s">
        <v>617</v>
      </c>
      <c r="B48" s="11" t="s">
        <v>618</v>
      </c>
      <c r="C48" s="11" t="s">
        <v>172</v>
      </c>
      <c r="D48" s="10">
        <v>39</v>
      </c>
      <c r="E48" s="11" t="s">
        <v>136</v>
      </c>
      <c r="F48" s="11" t="s">
        <v>89</v>
      </c>
      <c r="G48" s="11" t="s">
        <v>619</v>
      </c>
      <c r="H48" s="10">
        <v>5500</v>
      </c>
      <c r="I48" s="10">
        <v>2</v>
      </c>
      <c r="J48" s="12">
        <v>46133</v>
      </c>
      <c r="K48" s="11" t="s">
        <v>488</v>
      </c>
      <c r="L48" s="10">
        <v>275000</v>
      </c>
      <c r="M48" s="10">
        <v>5</v>
      </c>
      <c r="N48" s="10">
        <v>9.6</v>
      </c>
      <c r="O48" s="11" t="s">
        <v>489</v>
      </c>
      <c r="P48" t="str">
        <f t="shared" si="0"/>
        <v>suraj kumar</v>
      </c>
      <c r="Q48" s="31" t="str">
        <f t="shared" si="1"/>
        <v>SURAJ KUMAR</v>
      </c>
      <c r="R48" s="31" t="str">
        <f t="shared" si="2"/>
        <v>Suraj Kumar</v>
      </c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</row>
    <row r="49" spans="1:43" x14ac:dyDescent="0.3">
      <c r="A49" s="11" t="s">
        <v>620</v>
      </c>
      <c r="B49" s="11" t="s">
        <v>621</v>
      </c>
      <c r="C49" s="11" t="s">
        <v>139</v>
      </c>
      <c r="D49" s="10">
        <v>42</v>
      </c>
      <c r="E49" s="11" t="s">
        <v>141</v>
      </c>
      <c r="F49" s="11" t="s">
        <v>491</v>
      </c>
      <c r="G49" s="11" t="s">
        <v>622</v>
      </c>
      <c r="H49" s="10">
        <v>2100</v>
      </c>
      <c r="I49" s="10">
        <v>2</v>
      </c>
      <c r="J49" s="12">
        <v>46135</v>
      </c>
      <c r="K49" s="11" t="s">
        <v>496</v>
      </c>
      <c r="L49" s="10">
        <v>180000</v>
      </c>
      <c r="M49" s="10">
        <v>4</v>
      </c>
      <c r="N49" s="10">
        <v>10</v>
      </c>
      <c r="O49" s="11" t="s">
        <v>489</v>
      </c>
      <c r="P49" t="str">
        <f t="shared" si="0"/>
        <v>renu gupta</v>
      </c>
      <c r="Q49" s="31" t="str">
        <f t="shared" si="1"/>
        <v>RENU GUPTA</v>
      </c>
      <c r="R49" s="31" t="str">
        <f t="shared" si="2"/>
        <v>Renu Gupta</v>
      </c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</row>
    <row r="50" spans="1:43" x14ac:dyDescent="0.3">
      <c r="A50" s="11" t="s">
        <v>623</v>
      </c>
      <c r="B50" s="11" t="s">
        <v>624</v>
      </c>
      <c r="C50" s="11" t="s">
        <v>501</v>
      </c>
      <c r="D50" s="10">
        <v>48</v>
      </c>
      <c r="E50" s="11" t="s">
        <v>136</v>
      </c>
      <c r="F50" s="11" t="s">
        <v>96</v>
      </c>
      <c r="G50" s="11" t="s">
        <v>110</v>
      </c>
      <c r="H50" s="10">
        <v>11000</v>
      </c>
      <c r="I50" s="10">
        <v>1</v>
      </c>
      <c r="J50" s="12">
        <v>46137</v>
      </c>
      <c r="K50" s="11" t="s">
        <v>488</v>
      </c>
      <c r="L50" s="10">
        <v>475000</v>
      </c>
      <c r="M50" s="10">
        <v>7</v>
      </c>
      <c r="N50" s="10">
        <v>8.8000000000000007</v>
      </c>
      <c r="O50" s="11" t="s">
        <v>489</v>
      </c>
      <c r="P50" t="str">
        <f t="shared" si="0"/>
        <v>gaurav mehra</v>
      </c>
      <c r="Q50" s="31" t="str">
        <f t="shared" si="1"/>
        <v>GAURAV MEHRA</v>
      </c>
      <c r="R50" s="31" t="str">
        <f t="shared" si="2"/>
        <v>Gaurav Mehra</v>
      </c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</row>
    <row r="51" spans="1:43" x14ac:dyDescent="0.3">
      <c r="A51" s="11" t="s">
        <v>625</v>
      </c>
      <c r="B51" s="11" t="s">
        <v>626</v>
      </c>
      <c r="C51" s="11" t="s">
        <v>154</v>
      </c>
      <c r="D51" s="10">
        <v>30</v>
      </c>
      <c r="E51" s="11" t="s">
        <v>141</v>
      </c>
      <c r="F51" s="11" t="s">
        <v>505</v>
      </c>
      <c r="G51" s="11" t="s">
        <v>627</v>
      </c>
      <c r="H51" s="10">
        <v>900</v>
      </c>
      <c r="I51" s="10">
        <v>4</v>
      </c>
      <c r="J51" s="12">
        <v>46139</v>
      </c>
      <c r="K51" s="11" t="s">
        <v>493</v>
      </c>
      <c r="L51" s="10">
        <v>105000</v>
      </c>
      <c r="M51" s="10">
        <v>2</v>
      </c>
      <c r="N51" s="10">
        <v>11.3</v>
      </c>
      <c r="O51" s="11" t="s">
        <v>489</v>
      </c>
      <c r="P51" t="str">
        <f t="shared" si="0"/>
        <v>swati joshi</v>
      </c>
      <c r="Q51" s="31" t="str">
        <f t="shared" si="1"/>
        <v>SWATI JOSHI</v>
      </c>
      <c r="R51" s="31" t="str">
        <f t="shared" si="2"/>
        <v>Swati Joshi</v>
      </c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</row>
    <row r="52" spans="1:43" x14ac:dyDescent="0.3">
      <c r="A52" s="11" t="s">
        <v>628</v>
      </c>
      <c r="B52" s="11" t="s">
        <v>629</v>
      </c>
      <c r="C52" s="11" t="s">
        <v>139</v>
      </c>
      <c r="D52" s="10">
        <v>37</v>
      </c>
      <c r="E52" s="11" t="s">
        <v>136</v>
      </c>
      <c r="F52" s="11" t="s">
        <v>89</v>
      </c>
      <c r="G52" s="11" t="s">
        <v>88</v>
      </c>
      <c r="H52" s="10">
        <v>62000</v>
      </c>
      <c r="I52" s="10">
        <v>1</v>
      </c>
      <c r="J52" s="12">
        <v>46142</v>
      </c>
      <c r="K52" s="11" t="s">
        <v>488</v>
      </c>
      <c r="L52" s="10">
        <v>350000</v>
      </c>
      <c r="M52" s="10">
        <v>5</v>
      </c>
      <c r="N52" s="10">
        <v>9.3000000000000007</v>
      </c>
      <c r="O52" s="11" t="s">
        <v>489</v>
      </c>
      <c r="P52" t="str">
        <f t="shared" si="0"/>
        <v>ankit sharma</v>
      </c>
      <c r="Q52" s="31" t="str">
        <f t="shared" si="1"/>
        <v>ANKIT SHARMA</v>
      </c>
      <c r="R52" s="31" t="str">
        <f t="shared" si="2"/>
        <v>Ankit Sharma</v>
      </c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</row>
    <row r="55" spans="1:43" x14ac:dyDescent="0.3">
      <c r="R55" t="s">
        <v>659</v>
      </c>
    </row>
    <row r="56" spans="1:43" ht="28.8" x14ac:dyDescent="0.3">
      <c r="A56" t="s">
        <v>666</v>
      </c>
      <c r="R56" s="33" t="s">
        <v>660</v>
      </c>
      <c r="S56" s="23" t="s">
        <v>662</v>
      </c>
      <c r="T56">
        <f>FIND("@",R56)</f>
        <v>4</v>
      </c>
    </row>
    <row r="57" spans="1:43" ht="28.8" x14ac:dyDescent="0.3">
      <c r="A57" s="37">
        <v>55000</v>
      </c>
      <c r="B57" t="s">
        <v>670</v>
      </c>
      <c r="C57" t="s">
        <v>671</v>
      </c>
      <c r="D57" t="s">
        <v>672</v>
      </c>
      <c r="R57" s="33" t="s">
        <v>661</v>
      </c>
      <c r="S57" s="23" t="s">
        <v>663</v>
      </c>
      <c r="T57">
        <f>FIND(".",R57)</f>
        <v>11</v>
      </c>
    </row>
    <row r="58" spans="1:43" ht="43.2" x14ac:dyDescent="0.3">
      <c r="A58" s="37">
        <v>2500.2568999999999</v>
      </c>
      <c r="B58" s="36">
        <f>ROUND(A58,2)</f>
        <v>2500.2600000000002</v>
      </c>
      <c r="C58" s="38">
        <f>ROUNDUP(A58,2)</f>
        <v>2500.2600000000002</v>
      </c>
      <c r="D58" s="38">
        <f>ROUNDDOWN(A58,2)</f>
        <v>2500.25</v>
      </c>
      <c r="S58" s="34" t="s">
        <v>664</v>
      </c>
      <c r="T58" t="str">
        <f>MID(R56,FIND("@",R56)+1,FIND(".",R56)-FIND("@",R56)-1)</f>
        <v>GMAIL</v>
      </c>
    </row>
    <row r="59" spans="1:43" x14ac:dyDescent="0.3">
      <c r="A59" s="37">
        <v>4500.5600000000004</v>
      </c>
      <c r="T59" t="str">
        <f>MID(R57,FIND("@",R57)+1,FIND(".",R57)-FIND("@",R57)-1)</f>
        <v>YAHOON</v>
      </c>
    </row>
    <row r="60" spans="1:43" x14ac:dyDescent="0.3">
      <c r="A60" s="37">
        <v>1800.66</v>
      </c>
    </row>
    <row r="61" spans="1:43" x14ac:dyDescent="0.3">
      <c r="A61" s="37">
        <v>22000</v>
      </c>
    </row>
    <row r="62" spans="1:43" x14ac:dyDescent="0.3">
      <c r="A62" s="37">
        <v>3200</v>
      </c>
    </row>
    <row r="63" spans="1:43" x14ac:dyDescent="0.3">
      <c r="A63" s="37">
        <v>1200</v>
      </c>
    </row>
    <row r="64" spans="1:43" x14ac:dyDescent="0.3">
      <c r="A64" s="37">
        <v>3500</v>
      </c>
    </row>
    <row r="65" spans="1:1" x14ac:dyDescent="0.3">
      <c r="A65" s="37">
        <v>18000</v>
      </c>
    </row>
    <row r="66" spans="1:1" x14ac:dyDescent="0.3">
      <c r="A66" s="37">
        <v>4500</v>
      </c>
    </row>
    <row r="67" spans="1:1" x14ac:dyDescent="0.3">
      <c r="A67" s="37">
        <v>15000</v>
      </c>
    </row>
    <row r="68" spans="1:1" x14ac:dyDescent="0.3">
      <c r="A68" s="37">
        <v>2800</v>
      </c>
    </row>
    <row r="69" spans="1:1" x14ac:dyDescent="0.3">
      <c r="A69" s="37">
        <v>12000</v>
      </c>
    </row>
    <row r="70" spans="1:1" x14ac:dyDescent="0.3">
      <c r="A70" s="37">
        <v>2200</v>
      </c>
    </row>
    <row r="71" spans="1:1" x14ac:dyDescent="0.3">
      <c r="A71" s="37">
        <v>32000</v>
      </c>
    </row>
    <row r="72" spans="1:1" x14ac:dyDescent="0.3">
      <c r="A72" s="37">
        <v>850</v>
      </c>
    </row>
    <row r="73" spans="1:1" x14ac:dyDescent="0.3">
      <c r="A73" s="37">
        <v>28000</v>
      </c>
    </row>
    <row r="74" spans="1:1" x14ac:dyDescent="0.3">
      <c r="A74" s="37">
        <v>4200</v>
      </c>
    </row>
  </sheetData>
  <mergeCells count="2">
    <mergeCell ref="AE4:AE8"/>
    <mergeCell ref="W13:W15"/>
  </mergeCells>
  <hyperlinks>
    <hyperlink ref="R56" r:id="rId1" xr:uid="{A9453653-D618-4CB1-B64C-6FF9CC970F05}"/>
    <hyperlink ref="R57" r:id="rId2" xr:uid="{D2366635-B14A-4D6A-9CD6-1B0953225AF6}"/>
    <hyperlink ref="S22" r:id="rId3" xr:uid="{6516C45E-90D8-4EEC-9B2A-945F6DD741BA}"/>
    <hyperlink ref="S23" r:id="rId4" xr:uid="{DA44E7F8-D6CB-4FAA-9FCA-FF6943A7354B}"/>
  </hyperlinks>
  <pageMargins left="0.7" right="0.7" top="0.75" bottom="0.75" header="0.3" footer="0.3"/>
  <pageSetup orientation="portrait" horizontalDpi="1200" verticalDpi="1200"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4EFF-68AE-4BE6-89A8-B74FE8F23F8E}">
  <dimension ref="A1:F7"/>
  <sheetViews>
    <sheetView tabSelected="1" workbookViewId="0">
      <selection activeCell="C2" sqref="C2"/>
    </sheetView>
  </sheetViews>
  <sheetFormatPr defaultRowHeight="14.4" x14ac:dyDescent="0.3"/>
  <cols>
    <col min="5" max="5" width="16.33203125" bestFit="1" customWidth="1"/>
    <col min="6" max="6" width="17.44140625" customWidth="1"/>
  </cols>
  <sheetData>
    <row r="1" spans="1:6" x14ac:dyDescent="0.3">
      <c r="A1" t="s">
        <v>648</v>
      </c>
    </row>
    <row r="2" spans="1:6" x14ac:dyDescent="0.3">
      <c r="A2" t="s">
        <v>2</v>
      </c>
      <c r="B2" t="s">
        <v>649</v>
      </c>
      <c r="C2" s="17" t="s">
        <v>650</v>
      </c>
    </row>
    <row r="3" spans="1:6" x14ac:dyDescent="0.3">
      <c r="A3" t="s">
        <v>214</v>
      </c>
      <c r="B3" t="s">
        <v>651</v>
      </c>
      <c r="C3" s="17" t="str">
        <f>_xlfn.CONCAT(A3,B3)</f>
        <v>RahulBose</v>
      </c>
    </row>
    <row r="6" spans="1:6" x14ac:dyDescent="0.3">
      <c r="B6" t="s">
        <v>2</v>
      </c>
      <c r="C6" t="s">
        <v>132</v>
      </c>
      <c r="D6" t="s">
        <v>652</v>
      </c>
      <c r="E6" t="s">
        <v>653</v>
      </c>
      <c r="F6" t="s">
        <v>654</v>
      </c>
    </row>
    <row r="7" spans="1:6" x14ac:dyDescent="0.3">
      <c r="B7" t="s">
        <v>655</v>
      </c>
      <c r="C7" t="s">
        <v>139</v>
      </c>
      <c r="D7">
        <v>110043</v>
      </c>
      <c r="E7" s="32" t="s">
        <v>656</v>
      </c>
      <c r="F7" t="str">
        <f>_xlfn.CONCAT(UPPER(B7),LEFT(C7,2),RIGHT(D7,3))</f>
        <v>ASHADe043</v>
      </c>
    </row>
  </sheetData>
  <hyperlinks>
    <hyperlink ref="E7" r:id="rId1" xr:uid="{C23308EF-08CB-4250-9E76-70CABA3A20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05.09.2026 Part1</vt:lpstr>
      <vt:lpstr>05.09.2026 Part2 Practice Sheet</vt:lpstr>
      <vt:lpstr>06.09.2026 Part1</vt:lpstr>
      <vt:lpstr>06.09.2026 Part2</vt:lpstr>
      <vt:lpstr>06.09.2026 Part3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Soutrik Saha</dc:creator>
  <cp:lastModifiedBy>Soutrik Saha</cp:lastModifiedBy>
  <dcterms:created xsi:type="dcterms:W3CDTF">2026-08-30T10:51:26Z</dcterms:created>
  <dcterms:modified xsi:type="dcterms:W3CDTF">2026-09-10T04:40:00Z</dcterms:modified>
</cp:coreProperties>
</file>