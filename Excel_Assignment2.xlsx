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dee19ef2dee78fd/Desktop/Excel-Practice-main/"/>
    </mc:Choice>
  </mc:AlternateContent>
  <xr:revisionPtr revIDLastSave="273" documentId="8_{C37D2FB3-A878-4944-9878-B2B6CF47FF92}" xr6:coauthVersionLast="47" xr6:coauthVersionMax="47" xr10:uidLastSave="{096E38E0-E4DF-4994-89FE-85A05F0D5A9C}"/>
  <bookViews>
    <workbookView xWindow="-108" yWindow="-108" windowWidth="23256" windowHeight="13896" activeTab="2" xr2:uid="{00000000-000D-0000-FFFF-FFFF00000000}"/>
  </bookViews>
  <sheets>
    <sheet name="Ex1" sheetId="1" r:id="rId1"/>
    <sheet name="Ex2" sheetId="2" r:id="rId2"/>
    <sheet name="Ex3" sheetId="4" r:id="rId3"/>
  </sheets>
  <definedNames>
    <definedName name="_xlnm._FilterDatabase" localSheetId="0" hidden="1">'Ex1'!$A$1:$G$21</definedName>
    <definedName name="_xlnm._FilterDatabase" localSheetId="1" hidden="1">'Ex2'!$A$1:$R$21</definedName>
    <definedName name="_xlnm._FilterDatabase" localSheetId="2" hidden="1">'Ex3'!$A$1:$N$21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ht4alWRFs1zp9w5XrszvZUmRj5dwKTVoXUMpzRO43d0="/>
    </ext>
  </extLst>
</workbook>
</file>

<file path=xl/calcChain.xml><?xml version="1.0" encoding="utf-8"?>
<calcChain xmlns="http://schemas.openxmlformats.org/spreadsheetml/2006/main">
  <c r="P23" i="1" l="1"/>
  <c r="L18" i="2"/>
  <c r="P27" i="1"/>
  <c r="P21" i="1"/>
  <c r="G28" i="1"/>
  <c r="G27" i="1"/>
  <c r="G26" i="1"/>
  <c r="G25" i="1"/>
  <c r="G24" i="1" l="1"/>
  <c r="J17" i="4"/>
  <c r="J16" i="4"/>
  <c r="J15" i="4"/>
  <c r="J14" i="4"/>
  <c r="J13" i="4"/>
  <c r="J8" i="4"/>
  <c r="J7" i="4"/>
  <c r="J6" i="4"/>
  <c r="J5" i="4"/>
  <c r="J4" i="4"/>
  <c r="K9" i="2"/>
  <c r="K8" i="2"/>
  <c r="K7" i="2"/>
  <c r="K6" i="2"/>
  <c r="K5" i="2"/>
  <c r="J24" i="1"/>
  <c r="J23" i="1"/>
  <c r="J22" i="1"/>
  <c r="J21" i="1"/>
  <c r="J20" i="1"/>
  <c r="J16" i="1"/>
  <c r="J15" i="1"/>
  <c r="J14" i="1"/>
  <c r="J13" i="1"/>
  <c r="J12" i="1"/>
  <c r="K6" i="1"/>
  <c r="K4" i="1"/>
  <c r="K5" i="1"/>
  <c r="N10" i="4"/>
  <c r="N8" i="4"/>
  <c r="N6" i="4"/>
  <c r="N4" i="4"/>
  <c r="Q15" i="1"/>
  <c r="P15" i="1"/>
  <c r="P19" i="1"/>
  <c r="P17" i="1"/>
  <c r="P12" i="1"/>
  <c r="K16" i="2"/>
  <c r="K14" i="2"/>
  <c r="K21" i="2"/>
  <c r="K20" i="2"/>
  <c r="R15" i="1" l="1"/>
</calcChain>
</file>

<file path=xl/sharedStrings.xml><?xml version="1.0" encoding="utf-8"?>
<sst xmlns="http://schemas.openxmlformats.org/spreadsheetml/2006/main" count="404" uniqueCount="144">
  <si>
    <t>Roll_No</t>
  </si>
  <si>
    <t>Name</t>
  </si>
  <si>
    <t>Lname</t>
  </si>
  <si>
    <t>Age</t>
  </si>
  <si>
    <t>City</t>
  </si>
  <si>
    <t>Subject</t>
  </si>
  <si>
    <t>Score</t>
  </si>
  <si>
    <t>Animesh</t>
  </si>
  <si>
    <t>Singh</t>
  </si>
  <si>
    <t>Delhi</t>
  </si>
  <si>
    <t>Python</t>
  </si>
  <si>
    <t>A1:G21</t>
  </si>
  <si>
    <t>Ankit</t>
  </si>
  <si>
    <t>Pandey</t>
  </si>
  <si>
    <t>Mumbai</t>
  </si>
  <si>
    <t>Tableau</t>
  </si>
  <si>
    <t>Funtion</t>
  </si>
  <si>
    <t>Result</t>
  </si>
  <si>
    <t>Formula</t>
  </si>
  <si>
    <t>Priya</t>
  </si>
  <si>
    <t>Gupta</t>
  </si>
  <si>
    <t>Noida</t>
  </si>
  <si>
    <t>SQL</t>
  </si>
  <si>
    <t>Count</t>
  </si>
  <si>
    <t>Count Student</t>
  </si>
  <si>
    <t>Anjali</t>
  </si>
  <si>
    <t>Verma</t>
  </si>
  <si>
    <t>ML</t>
  </si>
  <si>
    <t>Countblank</t>
  </si>
  <si>
    <t>Count Blank in LName</t>
  </si>
  <si>
    <t>Puklit</t>
  </si>
  <si>
    <t>Dubey</t>
  </si>
  <si>
    <t>Bangalore</t>
  </si>
  <si>
    <t>CountA</t>
  </si>
  <si>
    <t>Count of Non-null in Lname</t>
  </si>
  <si>
    <t>Nitesh</t>
  </si>
  <si>
    <t>Kumar</t>
  </si>
  <si>
    <t>AND</t>
  </si>
  <si>
    <t>Returns T when both conditions are T, otherwise F</t>
  </si>
  <si>
    <t>Ankush</t>
  </si>
  <si>
    <t>Singhla</t>
  </si>
  <si>
    <t>E2:E21</t>
  </si>
  <si>
    <t>OR</t>
  </si>
  <si>
    <t>Returns T when any one of the condition is T, otherwise F</t>
  </si>
  <si>
    <t>Dhruv</t>
  </si>
  <si>
    <t>Countif</t>
  </si>
  <si>
    <t>Age : D2</t>
  </si>
  <si>
    <t>Sub : F2</t>
  </si>
  <si>
    <t>City : E2</t>
  </si>
  <si>
    <t>Score : G2</t>
  </si>
  <si>
    <t>Name : B2</t>
  </si>
  <si>
    <t>Rahul</t>
  </si>
  <si>
    <t>Sharma</t>
  </si>
  <si>
    <t>Power BI</t>
  </si>
  <si>
    <t>City wise count of differrent Cities</t>
  </si>
  <si>
    <t>Countifs</t>
  </si>
  <si>
    <t>works on AND</t>
  </si>
  <si>
    <t>Vinay</t>
  </si>
  <si>
    <t>Countif Result</t>
  </si>
  <si>
    <t>Fun_Used</t>
  </si>
  <si>
    <t>Q1) Count of all the rows where Age&gt;25 and Subject is Python</t>
  </si>
  <si>
    <t>Ujjwal</t>
  </si>
  <si>
    <t>Paritosh</t>
  </si>
  <si>
    <t>Agarwal</t>
  </si>
  <si>
    <t>Q2) Count of all rows where Subject is Python or ML</t>
  </si>
  <si>
    <t>Twarita</t>
  </si>
  <si>
    <t>Nagar</t>
  </si>
  <si>
    <t>Utsav</t>
  </si>
  <si>
    <t>Dwivedi</t>
  </si>
  <si>
    <t>Pune</t>
  </si>
  <si>
    <t>Q3) Count all the rows where Score&gt;80 and City is not Delhi</t>
  </si>
  <si>
    <t>Neha</t>
  </si>
  <si>
    <t>Pulkit</t>
  </si>
  <si>
    <t>Jaiswal</t>
  </si>
  <si>
    <t>Q4) Count of Students who score between 70 and 80 (both inclusive)</t>
  </si>
  <si>
    <t>Akanksha</t>
  </si>
  <si>
    <t>Student Count for  different subjects</t>
  </si>
  <si>
    <t>Shreya</t>
  </si>
  <si>
    <t>Subjects</t>
  </si>
  <si>
    <t>Formula Used</t>
  </si>
  <si>
    <t>Q5) Count of Rows where Student name starts with A and Score less than 70</t>
  </si>
  <si>
    <t>Khushboo</t>
  </si>
  <si>
    <t>Abhishek</t>
  </si>
  <si>
    <t>Q6) Count of Rows where Student name starts and ends(Lname) with A</t>
  </si>
  <si>
    <t>sum</t>
  </si>
  <si>
    <t>min</t>
  </si>
  <si>
    <t xml:space="preserve">Q7) Count of Rows where Student First name is of 5 characters </t>
  </si>
  <si>
    <t>max</t>
  </si>
  <si>
    <t>count</t>
  </si>
  <si>
    <t>Count Unique</t>
  </si>
  <si>
    <t xml:space="preserve">Count </t>
  </si>
  <si>
    <t>avg</t>
  </si>
  <si>
    <t xml:space="preserve">Sum </t>
  </si>
  <si>
    <t>Sumif</t>
  </si>
  <si>
    <t>Sumifs</t>
  </si>
  <si>
    <t>Average</t>
  </si>
  <si>
    <t>Averageif</t>
  </si>
  <si>
    <t>Averageifs</t>
  </si>
  <si>
    <t>if</t>
  </si>
  <si>
    <t>and</t>
  </si>
  <si>
    <t>or</t>
  </si>
  <si>
    <t>Subject wise sum of Scores</t>
  </si>
  <si>
    <t>Sumif Result</t>
  </si>
  <si>
    <t>Formula_Used</t>
  </si>
  <si>
    <t xml:space="preserve"> works on AND</t>
  </si>
  <si>
    <t>Q1) Sum of Scores where City is Mumbai and Subject is ML</t>
  </si>
  <si>
    <t>Q2) Sum of Scores where City is Pune and Score&lt;80</t>
  </si>
  <si>
    <t>Q3) Sum of Score where Students Last Name ends with a and Subject is ML</t>
  </si>
  <si>
    <t>Q4) Sum of all Scores where Subject is Python or ML</t>
  </si>
  <si>
    <t>AvgScore</t>
  </si>
  <si>
    <t>Q1) Find Avg Score where City is Delhi and Age is more than 22</t>
  </si>
  <si>
    <t>Q2) Find AvgScore where City ends with 'i' and subject is ML</t>
  </si>
  <si>
    <t>Q4) Find AvgScore where Age is between 23 and 25</t>
  </si>
  <si>
    <t>Using SUMIF</t>
  </si>
  <si>
    <t>Using SUMIFS</t>
  </si>
  <si>
    <t>Using COUNTIFS</t>
  </si>
  <si>
    <t>Python rows</t>
  </si>
  <si>
    <t>ML Rows</t>
  </si>
  <si>
    <t>Total Python or ML</t>
  </si>
  <si>
    <t>Using Averageifs</t>
  </si>
  <si>
    <t>Q3) Find AvgScore where Age is less than 25 and FirstName Starts with 'A'</t>
  </si>
  <si>
    <t>COUNTBLANK(C2:C21)</t>
  </si>
  <si>
    <t>COUNTA(A2:A21)</t>
  </si>
  <si>
    <t>COUNTA(C2:C21)</t>
  </si>
  <si>
    <t>COUNTIF(E2:E21,"DELHI")</t>
  </si>
  <si>
    <t>COUNTIF(E2:E21,"Mumbai")</t>
  </si>
  <si>
    <t>COUNTIF(E2:E21,"Noida")</t>
  </si>
  <si>
    <t>COUNTIF(E2:E21,"Pune")</t>
  </si>
  <si>
    <t>COUNTIF(E2:E21,"=Bangalore")</t>
  </si>
  <si>
    <t>COUNTIFS(F2:F21,"=SQL")</t>
  </si>
  <si>
    <t>COUNTIF(F2:F21,"Tableau")</t>
  </si>
  <si>
    <t>COUNTIF(F2:F21,"Power BI")</t>
  </si>
  <si>
    <t>COUNTIF(F2:F21,"ML")</t>
  </si>
  <si>
    <t>COUNTIF(F2:F21,"Python")</t>
  </si>
  <si>
    <t>SUMIF(F2:F21,"Python",G2:G21)</t>
  </si>
  <si>
    <t>SUMIF(F2:F21,"ML",G2:G21)</t>
  </si>
  <si>
    <t>SUMIF(F2:F21,"Power BI",G2:G21)</t>
  </si>
  <si>
    <t>SUMIF(F2:F21,"SQL",G2:G21)</t>
  </si>
  <si>
    <t>SUMIF(F2:F21,"Tableau",G2:G21)</t>
  </si>
  <si>
    <t>Function</t>
  </si>
  <si>
    <t>AVERAGEIF</t>
  </si>
  <si>
    <t>Using COUNTIFS and *</t>
  </si>
  <si>
    <t>Using COUNTIFS and ?</t>
  </si>
  <si>
    <t>Using SUMIFS and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</si>
</sst>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FE699"/>
        <bgColor rgb="FFFFE6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rgb="FFF7CAAC"/>
      </patternFill>
    </fill>
    <fill>
      <patternFill patternType="solid">
        <fgColor rgb="FFFF66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3" borderId="2" xfId="0" applyFont="1" applyFill="1" applyBorder="1"/>
    <xf numFmtId="0" fontId="4" fillId="0" borderId="0" xfId="0" applyFont="1" applyAlignment="1">
      <alignment horizontal="left"/>
    </xf>
    <xf numFmtId="0" fontId="2" fillId="4" borderId="2" xfId="0" applyFont="1" applyFill="1" applyBorder="1"/>
    <xf numFmtId="0" fontId="2" fillId="6" borderId="6" xfId="0" applyFont="1" applyFill="1" applyBorder="1"/>
    <xf numFmtId="0" fontId="2" fillId="6" borderId="1" xfId="0" applyFont="1" applyFill="1" applyBorder="1"/>
    <xf numFmtId="0" fontId="4" fillId="0" borderId="0" xfId="0" applyFont="1"/>
    <xf numFmtId="0" fontId="4" fillId="7" borderId="2" xfId="0" applyFont="1" applyFill="1" applyBorder="1"/>
    <xf numFmtId="0" fontId="2" fillId="0" borderId="0" xfId="0" applyFont="1" applyAlignment="1">
      <alignment horizontal="center"/>
    </xf>
    <xf numFmtId="0" fontId="2" fillId="8" borderId="2" xfId="0" applyFont="1" applyFill="1" applyBorder="1"/>
    <xf numFmtId="0" fontId="4" fillId="0" borderId="0" xfId="0" applyFont="1" applyAlignment="1">
      <alignment wrapText="1"/>
    </xf>
    <xf numFmtId="0" fontId="6" fillId="10" borderId="1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4" fillId="7" borderId="7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10" fillId="3" borderId="2" xfId="0" applyFont="1" applyFill="1" applyBorder="1"/>
    <xf numFmtId="0" fontId="5" fillId="0" borderId="7" xfId="0" applyFont="1" applyBorder="1"/>
    <xf numFmtId="0" fontId="11" fillId="0" borderId="7" xfId="0" applyFont="1" applyBorder="1"/>
    <xf numFmtId="0" fontId="0" fillId="11" borderId="0" xfId="0" applyFill="1"/>
    <xf numFmtId="0" fontId="4" fillId="12" borderId="7" xfId="0" applyFont="1" applyFill="1" applyBorder="1"/>
    <xf numFmtId="0" fontId="5" fillId="13" borderId="4" xfId="0" applyFont="1" applyFill="1" applyBorder="1"/>
    <xf numFmtId="0" fontId="1" fillId="0" borderId="0" xfId="0" applyFont="1"/>
    <xf numFmtId="0" fontId="0" fillId="14" borderId="0" xfId="0" applyFill="1"/>
    <xf numFmtId="0" fontId="0" fillId="15" borderId="0" xfId="0" applyFill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/>
    </xf>
    <xf numFmtId="0" fontId="2" fillId="5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4" fillId="7" borderId="7" xfId="0" applyFont="1" applyFill="1" applyBorder="1" applyAlignment="1">
      <alignment horizontal="left"/>
    </xf>
    <xf numFmtId="0" fontId="9" fillId="7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4" fillId="9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5" fillId="0" borderId="9" xfId="0" applyFont="1" applyBorder="1"/>
    <xf numFmtId="0" fontId="5" fillId="0" borderId="10" xfId="0" applyFont="1" applyBorder="1"/>
    <xf numFmtId="0" fontId="2" fillId="6" borderId="11" xfId="0" applyFont="1" applyFill="1" applyBorder="1" applyAlignment="1">
      <alignment horizontal="center"/>
    </xf>
    <xf numFmtId="0" fontId="5" fillId="0" borderId="12" xfId="0" applyFont="1" applyBorder="1"/>
    <xf numFmtId="0" fontId="11" fillId="0" borderId="4" xfId="0" applyFont="1" applyBorder="1" applyAlignment="1"/>
    <xf numFmtId="0" fontId="11" fillId="0" borderId="5" xfId="0" applyFont="1" applyBorder="1" applyAlignment="1"/>
    <xf numFmtId="0" fontId="11" fillId="0" borderId="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F1" workbookViewId="0">
      <selection activeCell="P24" sqref="P24"/>
    </sheetView>
  </sheetViews>
  <sheetFormatPr defaultColWidth="14.44140625" defaultRowHeight="15" customHeight="1"/>
  <cols>
    <col min="1" max="5" width="8.6640625" customWidth="1"/>
    <col min="6" max="6" width="11.5546875" customWidth="1"/>
    <col min="7" max="7" width="12.44140625" customWidth="1"/>
    <col min="8" max="8" width="8.6640625" customWidth="1"/>
    <col min="9" max="9" width="11.109375" customWidth="1"/>
    <col min="10" max="10" width="23.6640625" bestFit="1" customWidth="1"/>
    <col min="11" max="11" width="26.33203125" customWidth="1"/>
    <col min="12" max="12" width="23.44140625" customWidth="1"/>
    <col min="13" max="14" width="8.6640625" customWidth="1"/>
    <col min="15" max="15" width="19.5546875" customWidth="1"/>
    <col min="16" max="16" width="12.5546875" bestFit="1" customWidth="1"/>
    <col min="17" max="17" width="8.6640625" customWidth="1"/>
    <col min="18" max="18" width="16.6640625" bestFit="1" customWidth="1"/>
    <col min="19" max="26" width="8.6640625" customWidth="1"/>
  </cols>
  <sheetData>
    <row r="1" spans="1:2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5" ht="14.25" customHeight="1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2" t="s">
        <v>11</v>
      </c>
    </row>
    <row r="3" spans="1:25" ht="14.25" customHeight="1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I3" s="3" t="s">
        <v>16</v>
      </c>
      <c r="K3" s="3" t="s">
        <v>17</v>
      </c>
      <c r="L3" s="2" t="s">
        <v>18</v>
      </c>
    </row>
    <row r="4" spans="1:25" ht="14.25" customHeight="1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I4" s="3" t="s">
        <v>23</v>
      </c>
      <c r="J4" s="2" t="s">
        <v>24</v>
      </c>
      <c r="K4" s="2">
        <f>COUNT(A2:A21)</f>
        <v>20</v>
      </c>
      <c r="L4" s="4" t="s">
        <v>122</v>
      </c>
      <c r="M4" s="31"/>
      <c r="N4" s="32"/>
      <c r="O4" s="32"/>
    </row>
    <row r="5" spans="1:25" ht="14.25" customHeight="1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I5" s="3" t="s">
        <v>28</v>
      </c>
      <c r="J5" s="2" t="s">
        <v>29</v>
      </c>
      <c r="K5" s="2">
        <f>COUNTBLANK(C2:C21)</f>
        <v>2</v>
      </c>
      <c r="L5" s="4" t="s">
        <v>121</v>
      </c>
    </row>
    <row r="6" spans="1:25" ht="14.25" customHeight="1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I6" s="3" t="s">
        <v>33</v>
      </c>
      <c r="J6" s="2" t="s">
        <v>34</v>
      </c>
      <c r="K6" s="2">
        <f>COUNTA(C2:C21)</f>
        <v>18</v>
      </c>
      <c r="L6" s="4" t="s">
        <v>123</v>
      </c>
    </row>
    <row r="7" spans="1:25" ht="14.25" customHeight="1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S7" s="2" t="s">
        <v>37</v>
      </c>
      <c r="T7" s="33" t="s">
        <v>38</v>
      </c>
      <c r="U7" s="32"/>
      <c r="V7" s="32"/>
      <c r="W7" s="32"/>
      <c r="X7" s="32"/>
      <c r="Y7" s="32"/>
    </row>
    <row r="8" spans="1:25" ht="14.25" customHeight="1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K8" s="2" t="s">
        <v>41</v>
      </c>
      <c r="S8" s="2" t="s">
        <v>42</v>
      </c>
      <c r="T8" s="33" t="s">
        <v>43</v>
      </c>
      <c r="U8" s="32"/>
      <c r="V8" s="32"/>
      <c r="W8" s="32"/>
      <c r="X8" s="32"/>
      <c r="Y8" s="32"/>
    </row>
    <row r="9" spans="1:25" ht="14.25" customHeight="1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I9" s="6" t="s">
        <v>45</v>
      </c>
      <c r="Q9" s="2" t="s">
        <v>46</v>
      </c>
      <c r="R9" s="2" t="s">
        <v>47</v>
      </c>
      <c r="S9" s="2" t="s">
        <v>48</v>
      </c>
      <c r="T9" s="2" t="s">
        <v>49</v>
      </c>
      <c r="U9" s="2" t="s">
        <v>50</v>
      </c>
    </row>
    <row r="10" spans="1:25" ht="14.25" customHeight="1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  <c r="I10" s="34" t="s">
        <v>54</v>
      </c>
      <c r="J10" s="35"/>
      <c r="K10" s="35"/>
      <c r="L10" s="36"/>
      <c r="O10" s="6" t="s">
        <v>55</v>
      </c>
      <c r="P10" s="2" t="s">
        <v>56</v>
      </c>
    </row>
    <row r="11" spans="1:25" ht="14.25" customHeight="1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  <c r="I11" s="7" t="s">
        <v>4</v>
      </c>
      <c r="J11" s="8" t="s">
        <v>58</v>
      </c>
      <c r="K11" s="8" t="s">
        <v>59</v>
      </c>
      <c r="O11" s="37" t="s">
        <v>60</v>
      </c>
      <c r="P11" s="35"/>
      <c r="Q11" s="35"/>
      <c r="R11" s="35"/>
      <c r="S11" s="35"/>
      <c r="T11" s="35"/>
      <c r="U11" s="36"/>
    </row>
    <row r="12" spans="1:25" ht="14.25" customHeight="1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I12" s="2" t="s">
        <v>9</v>
      </c>
      <c r="J12" s="2">
        <f>COUNTIF(E2:E21,"DELHI")</f>
        <v>4</v>
      </c>
      <c r="K12" s="9" t="s">
        <v>124</v>
      </c>
      <c r="O12" s="2" t="s">
        <v>115</v>
      </c>
      <c r="P12">
        <f>COUNTIFS(D2:D21,"&gt;25",F2:F21,"=Python")</f>
        <v>1</v>
      </c>
      <c r="Q12" s="21"/>
      <c r="R12" s="4"/>
      <c r="S12" s="4"/>
      <c r="T12" s="4"/>
      <c r="U12" s="4"/>
    </row>
    <row r="13" spans="1:25" ht="14.25" customHeight="1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I13" s="2" t="s">
        <v>14</v>
      </c>
      <c r="J13" s="2">
        <f>COUNTIF(E2:E21,"Mumbai")</f>
        <v>5</v>
      </c>
      <c r="K13" s="9" t="s">
        <v>125</v>
      </c>
      <c r="O13" s="38" t="s">
        <v>64</v>
      </c>
      <c r="P13" s="35"/>
      <c r="Q13" s="35"/>
      <c r="R13" s="35"/>
      <c r="S13" s="35"/>
      <c r="T13" s="35"/>
      <c r="U13" s="36"/>
    </row>
    <row r="14" spans="1:25" ht="14.25" customHeight="1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I14" s="2" t="s">
        <v>21</v>
      </c>
      <c r="J14" s="2">
        <f>COUNTIF(E2:E21,"Noida")</f>
        <v>5</v>
      </c>
      <c r="K14" s="9" t="s">
        <v>126</v>
      </c>
      <c r="O14" s="18"/>
      <c r="P14" s="23" t="s">
        <v>116</v>
      </c>
      <c r="Q14" s="23" t="s">
        <v>117</v>
      </c>
      <c r="R14" s="23" t="s">
        <v>118</v>
      </c>
      <c r="S14" s="22"/>
      <c r="T14" s="22"/>
      <c r="U14" s="22"/>
    </row>
    <row r="15" spans="1:25" ht="14.25" customHeight="1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I15" s="2" t="s">
        <v>69</v>
      </c>
      <c r="J15" s="2">
        <f>COUNTIF(E2:E21,"Pune")</f>
        <v>2</v>
      </c>
      <c r="K15" s="9" t="s">
        <v>127</v>
      </c>
      <c r="O15" s="2" t="s">
        <v>115</v>
      </c>
      <c r="P15" s="24">
        <f>COUNTIF(F2:F21,"Python")</f>
        <v>5</v>
      </c>
      <c r="Q15" s="25">
        <f>COUNTIF(F2:F21,"=ML")</f>
        <v>6</v>
      </c>
      <c r="R15" s="26">
        <f>P15+Q15</f>
        <v>11</v>
      </c>
      <c r="S15" s="19"/>
      <c r="T15" s="19"/>
      <c r="U15" s="19"/>
      <c r="V15" s="20"/>
    </row>
    <row r="16" spans="1:25" ht="14.25" customHeight="1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I16" s="2" t="s">
        <v>32</v>
      </c>
      <c r="J16" s="2">
        <f>COUNTIF(E2:E21,"=Bangalore")</f>
        <v>4</v>
      </c>
      <c r="K16" s="9" t="s">
        <v>128</v>
      </c>
      <c r="O16" s="37" t="s">
        <v>70</v>
      </c>
      <c r="P16" s="35"/>
      <c r="Q16" s="35"/>
      <c r="R16" s="35"/>
      <c r="S16" s="35"/>
      <c r="T16" s="35"/>
      <c r="U16" s="36"/>
    </row>
    <row r="17" spans="1:25" ht="14.25" customHeight="1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O17" s="2" t="s">
        <v>115</v>
      </c>
      <c r="P17">
        <f>COUNTIFS(G2:G21,"&gt;80",E2:E21,"&lt;&gt;Delhi")</f>
        <v>3</v>
      </c>
      <c r="Q17" s="40"/>
      <c r="R17" s="40"/>
      <c r="S17" s="40"/>
      <c r="T17" s="40"/>
      <c r="U17" s="40"/>
      <c r="V17" s="2"/>
      <c r="W17" s="2"/>
    </row>
    <row r="18" spans="1:25" ht="14.25" customHeight="1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I18" s="41" t="s">
        <v>76</v>
      </c>
      <c r="J18" s="35"/>
      <c r="K18" s="36"/>
      <c r="L18" s="11"/>
      <c r="O18" s="10" t="s">
        <v>74</v>
      </c>
      <c r="P18" s="10"/>
      <c r="Q18" s="10"/>
      <c r="R18" s="10"/>
      <c r="S18" s="10"/>
      <c r="T18" s="10"/>
      <c r="U18" s="10"/>
    </row>
    <row r="19" spans="1:25" ht="14.25" customHeight="1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I19" s="3" t="s">
        <v>78</v>
      </c>
      <c r="J19" s="3" t="s">
        <v>23</v>
      </c>
      <c r="K19" s="3" t="s">
        <v>79</v>
      </c>
      <c r="O19" s="2" t="s">
        <v>115</v>
      </c>
      <c r="P19">
        <f>COUNTIFS(G2:G21,"&gt;70",G2:G21,"&lt;80")</f>
        <v>7</v>
      </c>
      <c r="Q19" s="40"/>
      <c r="R19" s="35"/>
      <c r="S19" s="35"/>
      <c r="T19" s="35"/>
      <c r="U19" s="36"/>
      <c r="W19" s="3"/>
    </row>
    <row r="20" spans="1:25" ht="14.25" customHeight="1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I20" s="2" t="s">
        <v>22</v>
      </c>
      <c r="J20" s="2">
        <f>COUNTIFS(F2:F21,"=SQL")</f>
        <v>4</v>
      </c>
      <c r="K20" s="2" t="s">
        <v>129</v>
      </c>
      <c r="O20" s="37" t="s">
        <v>80</v>
      </c>
      <c r="P20" s="35"/>
      <c r="Q20" s="35"/>
      <c r="R20" s="35"/>
      <c r="S20" s="35"/>
      <c r="T20" s="35"/>
      <c r="U20" s="35"/>
      <c r="V20" s="36"/>
      <c r="W20" s="2"/>
      <c r="X20" s="2"/>
    </row>
    <row r="21" spans="1:25" ht="14.25" customHeight="1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  <c r="I21" s="2" t="s">
        <v>15</v>
      </c>
      <c r="J21" s="2">
        <f>COUNTIF(F2:F21,"Tableau")</f>
        <v>3</v>
      </c>
      <c r="K21" s="2" t="s">
        <v>130</v>
      </c>
      <c r="O21" s="2" t="s">
        <v>141</v>
      </c>
      <c r="P21">
        <f>COUNTIFS(B1:B21,"A*",G1:G21,"&lt;70")</f>
        <v>4</v>
      </c>
      <c r="Q21" s="40"/>
      <c r="R21" s="35"/>
      <c r="S21" s="35"/>
      <c r="T21" s="35"/>
      <c r="U21" s="35"/>
      <c r="V21" s="36"/>
      <c r="W21" s="2"/>
      <c r="X21" s="2"/>
    </row>
    <row r="22" spans="1:25" ht="14.25" customHeight="1">
      <c r="I22" s="2" t="s">
        <v>53</v>
      </c>
      <c r="J22" s="2">
        <f>COUNTIF(F2:F21,"Power BI")</f>
        <v>2</v>
      </c>
      <c r="K22" s="2" t="s">
        <v>131</v>
      </c>
      <c r="O22" s="37" t="s">
        <v>83</v>
      </c>
      <c r="P22" s="35"/>
      <c r="Q22" s="35"/>
      <c r="R22" s="35"/>
      <c r="S22" s="35"/>
      <c r="T22" s="35"/>
      <c r="U22" s="36"/>
    </row>
    <row r="23" spans="1:25" ht="14.25" customHeight="1">
      <c r="I23" s="2" t="s">
        <v>27</v>
      </c>
      <c r="J23" s="2">
        <f>COUNTIF(F2:F21,"ML")</f>
        <v>6</v>
      </c>
      <c r="K23" s="2" t="s">
        <v>132</v>
      </c>
      <c r="O23" s="2" t="s">
        <v>141</v>
      </c>
      <c r="P23">
        <f>COUNTIFS(B1:B21,"A*",C1:C21,"*a")</f>
        <v>2</v>
      </c>
      <c r="Q23" s="39"/>
      <c r="R23" s="35"/>
      <c r="S23" s="35"/>
      <c r="T23" s="36"/>
    </row>
    <row r="24" spans="1:25" ht="14.25" customHeight="1">
      <c r="F24" s="2" t="s">
        <v>84</v>
      </c>
      <c r="G24" s="2">
        <f>SUM(G2:G21)</f>
        <v>1442</v>
      </c>
      <c r="H24" s="2"/>
      <c r="I24" s="2" t="s">
        <v>10</v>
      </c>
      <c r="J24" s="2">
        <f>COUNTIF(F2:F21,"Python")</f>
        <v>5</v>
      </c>
      <c r="K24" s="2" t="s">
        <v>133</v>
      </c>
    </row>
    <row r="25" spans="1:25" ht="14.25" customHeight="1">
      <c r="F25" s="2" t="s">
        <v>85</v>
      </c>
      <c r="G25" s="2">
        <f>MIN(G2:G21)</f>
        <v>47</v>
      </c>
      <c r="H25" s="2"/>
    </row>
    <row r="26" spans="1:25" ht="14.25" customHeight="1">
      <c r="F26" s="2" t="s">
        <v>87</v>
      </c>
      <c r="G26" s="2">
        <f>MAX(G2:G21)</f>
        <v>91</v>
      </c>
      <c r="H26" s="2"/>
      <c r="O26" s="37" t="s">
        <v>86</v>
      </c>
      <c r="P26" s="35"/>
      <c r="Q26" s="35"/>
      <c r="R26" s="35"/>
      <c r="S26" s="35"/>
      <c r="T26" s="35"/>
      <c r="U26" s="36"/>
      <c r="V26" s="5"/>
    </row>
    <row r="27" spans="1:25" ht="14.25" customHeight="1">
      <c r="F27" s="2" t="s">
        <v>88</v>
      </c>
      <c r="G27" s="2">
        <f>COUNT(G2:G21)</f>
        <v>20</v>
      </c>
      <c r="H27" s="2"/>
      <c r="I27" s="3" t="s">
        <v>89</v>
      </c>
      <c r="O27" s="2" t="s">
        <v>142</v>
      </c>
      <c r="P27">
        <f>COUNTIF(B2:B21,"?????")</f>
        <v>6</v>
      </c>
      <c r="Q27" s="39"/>
      <c r="R27" s="35"/>
      <c r="S27" s="36"/>
    </row>
    <row r="28" spans="1:25" ht="14.25" customHeight="1">
      <c r="F28" s="2" t="s">
        <v>91</v>
      </c>
      <c r="G28" s="2">
        <f>AVERAGE(G2:G21)</f>
        <v>72.099999999999994</v>
      </c>
      <c r="H28" s="2"/>
      <c r="J28" s="4"/>
      <c r="W28" s="2" t="s">
        <v>90</v>
      </c>
      <c r="X28" s="2" t="s">
        <v>45</v>
      </c>
      <c r="Y28" s="2" t="s">
        <v>55</v>
      </c>
    </row>
    <row r="29" spans="1:25" ht="14.25" customHeight="1">
      <c r="J29" s="4"/>
      <c r="W29" s="2" t="s">
        <v>92</v>
      </c>
      <c r="X29" s="2" t="s">
        <v>93</v>
      </c>
      <c r="Y29" s="2" t="s">
        <v>94</v>
      </c>
    </row>
    <row r="30" spans="1:25" ht="14.25" customHeight="1">
      <c r="W30" s="2" t="s">
        <v>95</v>
      </c>
      <c r="X30" s="2" t="s">
        <v>96</v>
      </c>
      <c r="Y30" s="27" t="s">
        <v>97</v>
      </c>
    </row>
    <row r="31" spans="1:25" ht="14.25" customHeight="1">
      <c r="G31" s="2"/>
      <c r="W31" s="2" t="s">
        <v>98</v>
      </c>
      <c r="X31" s="2" t="s">
        <v>99</v>
      </c>
      <c r="Y31" s="2" t="s">
        <v>100</v>
      </c>
    </row>
    <row r="32" spans="1:25" ht="14.25" customHeight="1">
      <c r="G32" s="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I18:K18"/>
    <mergeCell ref="Q19:U19"/>
    <mergeCell ref="O20:V20"/>
    <mergeCell ref="Q21:V21"/>
    <mergeCell ref="O22:U22"/>
    <mergeCell ref="O13:U13"/>
    <mergeCell ref="Q23:T23"/>
    <mergeCell ref="O26:U26"/>
    <mergeCell ref="Q27:S27"/>
    <mergeCell ref="O16:U16"/>
    <mergeCell ref="Q17:U17"/>
    <mergeCell ref="M4:O4"/>
    <mergeCell ref="T7:Y7"/>
    <mergeCell ref="T8:Y8"/>
    <mergeCell ref="I10:L10"/>
    <mergeCell ref="O11:U1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selection activeCell="J19" sqref="J19:P19"/>
    </sheetView>
  </sheetViews>
  <sheetFormatPr defaultColWidth="14.44140625" defaultRowHeight="15" customHeight="1"/>
  <cols>
    <col min="1" max="9" width="8.6640625" customWidth="1"/>
    <col min="10" max="10" width="12.109375" bestFit="1" customWidth="1"/>
    <col min="11" max="11" width="13.6640625" customWidth="1"/>
    <col min="12" max="12" width="29" bestFit="1" customWidth="1"/>
    <col min="13" max="26" width="8.6640625" customWidth="1"/>
  </cols>
  <sheetData>
    <row r="1" spans="1:1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ht="14.25" customHeight="1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12" t="s">
        <v>93</v>
      </c>
    </row>
    <row r="3" spans="1:16" ht="14.25" customHeight="1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J3" s="43" t="s">
        <v>101</v>
      </c>
      <c r="K3" s="44"/>
      <c r="L3" s="45"/>
    </row>
    <row r="4" spans="1:16" ht="14.25" customHeight="1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J4" s="8" t="s">
        <v>78</v>
      </c>
      <c r="K4" s="8" t="s">
        <v>102</v>
      </c>
      <c r="L4" s="46" t="s">
        <v>103</v>
      </c>
      <c r="M4" s="47"/>
    </row>
    <row r="5" spans="1:16" ht="14.25" customHeight="1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J5" s="2" t="s">
        <v>10</v>
      </c>
      <c r="K5">
        <f>SUMIF(F2:F21,"Python",G2:G21)</f>
        <v>349</v>
      </c>
      <c r="L5" s="9" t="s">
        <v>134</v>
      </c>
      <c r="M5" s="9"/>
      <c r="N5" s="9"/>
      <c r="O5" s="9"/>
    </row>
    <row r="6" spans="1:16" ht="14.25" customHeight="1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J6" s="2" t="s">
        <v>27</v>
      </c>
      <c r="K6">
        <f>SUMIF(F2:F21,"ML",G2:G21)</f>
        <v>398</v>
      </c>
      <c r="L6" s="13" t="s">
        <v>135</v>
      </c>
      <c r="M6" s="13"/>
      <c r="N6" s="13"/>
      <c r="O6" s="13"/>
    </row>
    <row r="7" spans="1:16" ht="14.25" customHeight="1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J7" s="2" t="s">
        <v>53</v>
      </c>
      <c r="K7">
        <f>SUMIF(F2:F21,"Power BI",G2:G21)</f>
        <v>165</v>
      </c>
      <c r="L7" s="9" t="s">
        <v>136</v>
      </c>
      <c r="M7" s="13"/>
      <c r="N7" s="13"/>
      <c r="O7" s="13"/>
    </row>
    <row r="8" spans="1:16" ht="14.25" customHeight="1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J8" s="2" t="s">
        <v>22</v>
      </c>
      <c r="K8">
        <f>SUMIF(F2:F21,"SQL",G2:G21)</f>
        <v>308</v>
      </c>
      <c r="L8" s="13" t="s">
        <v>137</v>
      </c>
      <c r="M8" s="13"/>
      <c r="N8" s="13"/>
      <c r="O8" s="13"/>
    </row>
    <row r="9" spans="1:16" ht="14.25" customHeight="1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J9" s="2" t="s">
        <v>15</v>
      </c>
      <c r="K9">
        <f>SUMIF(F2:F21,"Tableau",G2:G21)</f>
        <v>222</v>
      </c>
      <c r="L9" s="13" t="s">
        <v>138</v>
      </c>
      <c r="M9" s="13"/>
      <c r="N9" s="13"/>
      <c r="O9" s="13"/>
    </row>
    <row r="10" spans="1:16" ht="14.25" customHeight="1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</row>
    <row r="11" spans="1:16" ht="14.25" customHeight="1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</row>
    <row r="12" spans="1:16" ht="14.25" customHeight="1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J12" s="6" t="s">
        <v>94</v>
      </c>
      <c r="K12" s="2" t="s">
        <v>104</v>
      </c>
    </row>
    <row r="13" spans="1:16" ht="14.25" customHeight="1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J13" s="42" t="s">
        <v>105</v>
      </c>
      <c r="K13" s="35"/>
      <c r="L13" s="35"/>
      <c r="M13" s="35"/>
      <c r="N13" s="35"/>
      <c r="O13" s="35"/>
      <c r="P13" s="36"/>
    </row>
    <row r="14" spans="1:16" ht="14.25" customHeight="1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J14" t="s">
        <v>114</v>
      </c>
      <c r="K14">
        <f>SUMIFS(G2:G21,E2:E21,"=Mumbai",F2:F21,"=ML")</f>
        <v>115</v>
      </c>
      <c r="L14" s="40"/>
      <c r="M14" s="35"/>
      <c r="N14" s="35"/>
      <c r="O14" s="35"/>
      <c r="P14" s="36"/>
    </row>
    <row r="15" spans="1:16" ht="14.25" customHeight="1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J15" s="42" t="s">
        <v>106</v>
      </c>
      <c r="K15" s="35"/>
      <c r="L15" s="35"/>
      <c r="M15" s="35"/>
      <c r="N15" s="35"/>
      <c r="O15" s="35"/>
      <c r="P15" s="36"/>
    </row>
    <row r="16" spans="1:16" ht="14.25" customHeight="1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J16" t="s">
        <v>114</v>
      </c>
      <c r="K16">
        <f>SUMIFS(G2:G21,E2:E21,"=Pune",G2:G21,"&lt;80")</f>
        <v>149</v>
      </c>
      <c r="L16" s="40"/>
      <c r="M16" s="35"/>
      <c r="N16" s="35"/>
      <c r="O16" s="35"/>
      <c r="P16" s="36"/>
    </row>
    <row r="17" spans="1:18" ht="14.25" customHeight="1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J17" s="42" t="s">
        <v>107</v>
      </c>
      <c r="K17" s="35"/>
      <c r="L17" s="35"/>
      <c r="M17" s="35"/>
      <c r="N17" s="35"/>
      <c r="O17" s="35"/>
      <c r="P17" s="36"/>
    </row>
    <row r="18" spans="1:18" ht="14.25" customHeight="1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J18" t="s">
        <v>143</v>
      </c>
      <c r="L18" s="50">
        <f>SUMIFS(G1:G21,C1:C21,"*a",F1:F21,"ML")</f>
        <v>68</v>
      </c>
      <c r="M18" s="48"/>
      <c r="N18" s="48"/>
      <c r="O18" s="48"/>
      <c r="P18" s="49"/>
    </row>
    <row r="19" spans="1:18" ht="14.25" customHeight="1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J19" s="42" t="s">
        <v>108</v>
      </c>
      <c r="K19" s="35"/>
      <c r="L19" s="35"/>
      <c r="M19" s="35"/>
      <c r="N19" s="35"/>
      <c r="O19" s="35"/>
      <c r="P19" s="36"/>
    </row>
    <row r="20" spans="1:18" ht="14.25" customHeight="1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J20" t="s">
        <v>113</v>
      </c>
      <c r="K20">
        <f>SUMIF(F2:F21,"=Python",G2:G21) + SUMIF(F2:F21,"=ML",G2:G21)</f>
        <v>747</v>
      </c>
      <c r="L20" s="40"/>
      <c r="M20" s="35"/>
      <c r="N20" s="35"/>
      <c r="O20" s="35"/>
      <c r="P20" s="35"/>
      <c r="Q20" s="35"/>
      <c r="R20" s="36"/>
    </row>
    <row r="21" spans="1:18" ht="14.25" customHeight="1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  <c r="J21" t="s">
        <v>114</v>
      </c>
      <c r="K21">
        <f>SUMIFS(G2:G21,F2:F21,"=Python") + SUMIFS(G2:G21,F2:F21,"ML")</f>
        <v>747</v>
      </c>
    </row>
    <row r="22" spans="1:18" ht="14.25" customHeight="1">
      <c r="H22" s="39"/>
      <c r="I22" s="36"/>
    </row>
    <row r="23" spans="1:18" ht="14.25" customHeight="1">
      <c r="J23" s="2"/>
    </row>
    <row r="24" spans="1:18" ht="14.25" customHeight="1">
      <c r="J24" s="2"/>
    </row>
    <row r="25" spans="1:18" ht="14.25" customHeight="1">
      <c r="J25" s="2"/>
    </row>
    <row r="26" spans="1:18" ht="14.25" customHeight="1">
      <c r="J26" s="2"/>
    </row>
    <row r="27" spans="1:18" ht="14.25" customHeight="1">
      <c r="J27" s="2"/>
    </row>
    <row r="28" spans="1:18" ht="14.25" customHeight="1"/>
    <row r="29" spans="1:18" ht="14.25" customHeight="1"/>
    <row r="30" spans="1:18" ht="14.25" customHeight="1"/>
    <row r="31" spans="1:18" ht="14.25" customHeight="1"/>
    <row r="32" spans="1:1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J19:P19"/>
    <mergeCell ref="L20:R20"/>
    <mergeCell ref="H22:I22"/>
    <mergeCell ref="J3:L3"/>
    <mergeCell ref="L4:M4"/>
    <mergeCell ref="J13:P13"/>
    <mergeCell ref="L14:P14"/>
    <mergeCell ref="J15:P15"/>
    <mergeCell ref="L16:P16"/>
    <mergeCell ref="J17:P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21"/>
  <sheetViews>
    <sheetView tabSelected="1" workbookViewId="0">
      <selection activeCell="J4" sqref="J4"/>
    </sheetView>
  </sheetViews>
  <sheetFormatPr defaultColWidth="14.44140625" defaultRowHeight="15" customHeight="1"/>
  <cols>
    <col min="8" max="8" width="2" customWidth="1"/>
    <col min="9" max="10" width="14.44140625" customWidth="1"/>
    <col min="11" max="11" width="14.88671875" customWidth="1"/>
    <col min="12" max="12" width="0.88671875" customWidth="1"/>
  </cols>
  <sheetData>
    <row r="1" spans="1:14" ht="14.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L1" s="29"/>
    </row>
    <row r="2" spans="1:14" ht="14.4">
      <c r="A2" s="15">
        <v>121</v>
      </c>
      <c r="B2" s="16" t="s">
        <v>7</v>
      </c>
      <c r="C2" s="16" t="s">
        <v>8</v>
      </c>
      <c r="D2" s="15">
        <v>22</v>
      </c>
      <c r="E2" s="16" t="s">
        <v>9</v>
      </c>
      <c r="F2" s="16" t="s">
        <v>10</v>
      </c>
      <c r="G2" s="15">
        <v>55</v>
      </c>
      <c r="L2" s="29"/>
    </row>
    <row r="3" spans="1:14" ht="14.4">
      <c r="A3" s="15">
        <v>122</v>
      </c>
      <c r="B3" s="16" t="s">
        <v>12</v>
      </c>
      <c r="C3" s="16" t="s">
        <v>13</v>
      </c>
      <c r="D3" s="15">
        <v>23</v>
      </c>
      <c r="E3" s="16" t="s">
        <v>14</v>
      </c>
      <c r="F3" s="16" t="s">
        <v>15</v>
      </c>
      <c r="G3" s="15">
        <v>63</v>
      </c>
      <c r="I3" s="17" t="s">
        <v>4</v>
      </c>
      <c r="J3" s="17" t="s">
        <v>109</v>
      </c>
      <c r="K3" s="17" t="s">
        <v>139</v>
      </c>
      <c r="L3" s="29"/>
      <c r="M3" s="2" t="s">
        <v>110</v>
      </c>
    </row>
    <row r="4" spans="1:14" ht="14.4">
      <c r="A4" s="15">
        <v>123</v>
      </c>
      <c r="B4" s="16" t="s">
        <v>19</v>
      </c>
      <c r="C4" s="16" t="s">
        <v>20</v>
      </c>
      <c r="D4" s="15">
        <v>24</v>
      </c>
      <c r="E4" s="16" t="s">
        <v>21</v>
      </c>
      <c r="F4" s="16" t="s">
        <v>22</v>
      </c>
      <c r="G4" s="15">
        <v>71</v>
      </c>
      <c r="I4" s="2" t="s">
        <v>14</v>
      </c>
      <c r="J4" s="30">
        <f>AVERAGEIF(E2:E21,"Mumbai",G2:G21)</f>
        <v>63.4</v>
      </c>
      <c r="K4" t="s">
        <v>140</v>
      </c>
      <c r="L4" s="29"/>
      <c r="M4" s="28" t="s">
        <v>119</v>
      </c>
      <c r="N4" s="28">
        <f>AVERAGEIFS(G2:G21,E2:E21,"=Delhi",D2:D21,"&gt;22")</f>
        <v>83</v>
      </c>
    </row>
    <row r="5" spans="1:14" ht="14.4">
      <c r="A5" s="15">
        <v>124</v>
      </c>
      <c r="B5" s="16" t="s">
        <v>25</v>
      </c>
      <c r="C5" s="16" t="s">
        <v>26</v>
      </c>
      <c r="D5" s="15">
        <v>21</v>
      </c>
      <c r="E5" s="16" t="s">
        <v>14</v>
      </c>
      <c r="F5" s="16" t="s">
        <v>27</v>
      </c>
      <c r="G5" s="15">
        <v>68</v>
      </c>
      <c r="I5" s="2" t="s">
        <v>9</v>
      </c>
      <c r="J5" s="30">
        <f>AVERAGEIF(E2:E21,"Delhi",G2:G21)</f>
        <v>76</v>
      </c>
      <c r="K5" t="s">
        <v>140</v>
      </c>
      <c r="L5" s="29"/>
      <c r="M5" s="2" t="s">
        <v>111</v>
      </c>
    </row>
    <row r="6" spans="1:14" ht="14.4">
      <c r="A6" s="15">
        <v>125</v>
      </c>
      <c r="B6" s="16" t="s">
        <v>30</v>
      </c>
      <c r="C6" s="16" t="s">
        <v>31</v>
      </c>
      <c r="D6" s="15">
        <v>25</v>
      </c>
      <c r="E6" s="16" t="s">
        <v>32</v>
      </c>
      <c r="F6" s="16" t="s">
        <v>22</v>
      </c>
      <c r="G6" s="15">
        <v>74</v>
      </c>
      <c r="I6" s="2" t="s">
        <v>21</v>
      </c>
      <c r="J6" s="30">
        <f>AVERAGEIF(E2:E21,"Noida",G2:G21)</f>
        <v>79.400000000000006</v>
      </c>
      <c r="K6" t="s">
        <v>140</v>
      </c>
      <c r="L6" s="29"/>
      <c r="M6" s="28" t="s">
        <v>119</v>
      </c>
      <c r="N6" s="28">
        <f>AVERAGEIFS(G2:G21,E2:E21,"*I",F2:F21,"=ML")</f>
        <v>69.25</v>
      </c>
    </row>
    <row r="7" spans="1:14" ht="14.4">
      <c r="A7" s="15">
        <v>126</v>
      </c>
      <c r="B7" s="16" t="s">
        <v>35</v>
      </c>
      <c r="C7" s="16" t="s">
        <v>36</v>
      </c>
      <c r="D7" s="15">
        <v>24</v>
      </c>
      <c r="E7" s="16" t="s">
        <v>9</v>
      </c>
      <c r="F7" s="16" t="s">
        <v>27</v>
      </c>
      <c r="G7" s="15">
        <v>81</v>
      </c>
      <c r="I7" s="16" t="s">
        <v>32</v>
      </c>
      <c r="J7" s="30">
        <f>AVERAGEIF(E2:E21,"Bangalore",G2:G21)</f>
        <v>68.75</v>
      </c>
      <c r="K7" t="s">
        <v>140</v>
      </c>
      <c r="L7" s="29"/>
      <c r="M7" s="2" t="s">
        <v>120</v>
      </c>
    </row>
    <row r="8" spans="1:14" ht="14.4">
      <c r="A8" s="15">
        <v>127</v>
      </c>
      <c r="B8" s="16" t="s">
        <v>39</v>
      </c>
      <c r="C8" s="16" t="s">
        <v>40</v>
      </c>
      <c r="D8" s="15">
        <v>23</v>
      </c>
      <c r="E8" s="16" t="s">
        <v>14</v>
      </c>
      <c r="F8" s="16" t="s">
        <v>10</v>
      </c>
      <c r="G8" s="15">
        <v>83</v>
      </c>
      <c r="I8" s="2" t="s">
        <v>69</v>
      </c>
      <c r="J8" s="30">
        <f>AVERAGEIF(E2:E21,"Pune",G2:G21)</f>
        <v>74.5</v>
      </c>
      <c r="K8" t="s">
        <v>140</v>
      </c>
      <c r="L8" s="29"/>
      <c r="M8" s="28" t="s">
        <v>119</v>
      </c>
      <c r="N8" s="28">
        <f>AVERAGEIFS(G2:G21, D2:D21, "&lt;25", B2:B21, "A*")</f>
        <v>66.666666666666671</v>
      </c>
    </row>
    <row r="9" spans="1:14" ht="14.4">
      <c r="A9" s="15">
        <v>128</v>
      </c>
      <c r="B9" s="16" t="s">
        <v>44</v>
      </c>
      <c r="C9" s="16" t="s">
        <v>20</v>
      </c>
      <c r="D9" s="15">
        <v>24</v>
      </c>
      <c r="E9" s="16" t="s">
        <v>32</v>
      </c>
      <c r="F9" s="16" t="s">
        <v>15</v>
      </c>
      <c r="G9" s="15">
        <v>80</v>
      </c>
      <c r="L9" s="29"/>
      <c r="M9" s="2" t="s">
        <v>112</v>
      </c>
    </row>
    <row r="10" spans="1:14" ht="14.4">
      <c r="A10" s="15">
        <v>129</v>
      </c>
      <c r="B10" s="16" t="s">
        <v>51</v>
      </c>
      <c r="C10" s="16" t="s">
        <v>52</v>
      </c>
      <c r="D10" s="15">
        <v>25</v>
      </c>
      <c r="E10" s="16" t="s">
        <v>21</v>
      </c>
      <c r="F10" s="16" t="s">
        <v>53</v>
      </c>
      <c r="G10" s="15">
        <v>74</v>
      </c>
      <c r="L10" s="29"/>
      <c r="M10" s="28" t="s">
        <v>119</v>
      </c>
      <c r="N10" s="28">
        <f>AVERAGEIFS(G2:G21,D2:D21,"&gt;=23",D2:D21,"&lt;=25")</f>
        <v>75.666666666666671</v>
      </c>
    </row>
    <row r="11" spans="1:14" ht="14.4">
      <c r="A11" s="15">
        <v>130</v>
      </c>
      <c r="B11" s="16" t="s">
        <v>57</v>
      </c>
      <c r="C11" s="16"/>
      <c r="D11" s="15">
        <v>27</v>
      </c>
      <c r="E11" s="16" t="s">
        <v>14</v>
      </c>
      <c r="F11" s="16" t="s">
        <v>27</v>
      </c>
      <c r="G11" s="15">
        <v>47</v>
      </c>
      <c r="L11" s="29"/>
    </row>
    <row r="12" spans="1:14" ht="14.4">
      <c r="A12" s="15">
        <v>131</v>
      </c>
      <c r="B12" s="16" t="s">
        <v>61</v>
      </c>
      <c r="C12" s="16" t="s">
        <v>8</v>
      </c>
      <c r="D12" s="15">
        <v>28</v>
      </c>
      <c r="E12" s="16" t="s">
        <v>21</v>
      </c>
      <c r="F12" s="16" t="s">
        <v>53</v>
      </c>
      <c r="G12" s="15">
        <v>91</v>
      </c>
      <c r="I12" s="17" t="s">
        <v>5</v>
      </c>
      <c r="J12" s="17" t="s">
        <v>109</v>
      </c>
      <c r="K12" s="17" t="s">
        <v>139</v>
      </c>
      <c r="L12" s="29"/>
    </row>
    <row r="13" spans="1:14" ht="14.4">
      <c r="A13" s="15">
        <v>132</v>
      </c>
      <c r="B13" s="16" t="s">
        <v>62</v>
      </c>
      <c r="C13" s="16" t="s">
        <v>63</v>
      </c>
      <c r="D13" s="15">
        <v>26</v>
      </c>
      <c r="E13" s="16" t="s">
        <v>32</v>
      </c>
      <c r="F13" s="16" t="s">
        <v>27</v>
      </c>
      <c r="G13" s="15">
        <v>72</v>
      </c>
      <c r="I13" s="2" t="s">
        <v>10</v>
      </c>
      <c r="J13" s="30">
        <f>AVERAGEIF(F2:F21,"Python",G2:G21)</f>
        <v>69.8</v>
      </c>
      <c r="K13" t="s">
        <v>140</v>
      </c>
      <c r="L13" s="29"/>
    </row>
    <row r="14" spans="1:14" ht="14.4">
      <c r="A14" s="15">
        <v>133</v>
      </c>
      <c r="B14" s="16" t="s">
        <v>65</v>
      </c>
      <c r="C14" s="16" t="s">
        <v>66</v>
      </c>
      <c r="D14" s="15">
        <v>23</v>
      </c>
      <c r="E14" s="16" t="s">
        <v>9</v>
      </c>
      <c r="F14" s="16" t="s">
        <v>22</v>
      </c>
      <c r="G14" s="15">
        <v>87</v>
      </c>
      <c r="I14" s="2" t="s">
        <v>15</v>
      </c>
      <c r="J14" s="30">
        <f>AVERAGEIF(F2:F21,"Tableau",G2:G21)</f>
        <v>74</v>
      </c>
      <c r="K14" t="s">
        <v>140</v>
      </c>
      <c r="L14" s="29"/>
    </row>
    <row r="15" spans="1:14" ht="14.4">
      <c r="A15" s="15">
        <v>134</v>
      </c>
      <c r="B15" s="16" t="s">
        <v>67</v>
      </c>
      <c r="C15" s="16" t="s">
        <v>68</v>
      </c>
      <c r="D15" s="15">
        <v>22</v>
      </c>
      <c r="E15" s="16" t="s">
        <v>21</v>
      </c>
      <c r="F15" s="16" t="s">
        <v>15</v>
      </c>
      <c r="G15" s="15">
        <v>79</v>
      </c>
      <c r="I15" s="2" t="s">
        <v>22</v>
      </c>
      <c r="J15" s="30">
        <f>AVERAGEIF(F2:F21,"SQL",G2:G21)</f>
        <v>77</v>
      </c>
      <c r="K15" t="s">
        <v>140</v>
      </c>
      <c r="L15" s="29"/>
    </row>
    <row r="16" spans="1:14" ht="14.4">
      <c r="A16" s="15">
        <v>135</v>
      </c>
      <c r="B16" s="16" t="s">
        <v>71</v>
      </c>
      <c r="C16" s="16"/>
      <c r="D16" s="15">
        <v>24</v>
      </c>
      <c r="E16" s="16" t="s">
        <v>9</v>
      </c>
      <c r="F16" s="16" t="s">
        <v>27</v>
      </c>
      <c r="G16" s="15">
        <v>81</v>
      </c>
      <c r="I16" s="2" t="s">
        <v>27</v>
      </c>
      <c r="J16" s="30">
        <f>AVERAGEIF(F2:F21,"ML",G2:G21)</f>
        <v>66.333333333333329</v>
      </c>
      <c r="K16" t="s">
        <v>140</v>
      </c>
      <c r="L16" s="29"/>
    </row>
    <row r="17" spans="1:12" ht="14.4">
      <c r="A17" s="15">
        <v>136</v>
      </c>
      <c r="B17" s="16" t="s">
        <v>72</v>
      </c>
      <c r="C17" s="16" t="s">
        <v>73</v>
      </c>
      <c r="D17" s="15">
        <v>25</v>
      </c>
      <c r="E17" s="16" t="s">
        <v>14</v>
      </c>
      <c r="F17" s="16" t="s">
        <v>10</v>
      </c>
      <c r="G17" s="15">
        <v>56</v>
      </c>
      <c r="I17" s="2" t="s">
        <v>53</v>
      </c>
      <c r="J17" s="30">
        <f>AVERAGEIF(F2:F21,"Power BI",G2:G21)</f>
        <v>82.5</v>
      </c>
      <c r="K17" t="s">
        <v>140</v>
      </c>
      <c r="L17" s="29"/>
    </row>
    <row r="18" spans="1:12" ht="14.4">
      <c r="A18" s="15">
        <v>137</v>
      </c>
      <c r="B18" s="16" t="s">
        <v>75</v>
      </c>
      <c r="C18" s="16" t="s">
        <v>63</v>
      </c>
      <c r="D18" s="15">
        <v>21</v>
      </c>
      <c r="E18" s="16" t="s">
        <v>32</v>
      </c>
      <c r="F18" s="16" t="s">
        <v>27</v>
      </c>
      <c r="G18" s="15">
        <v>49</v>
      </c>
      <c r="L18" s="29"/>
    </row>
    <row r="19" spans="1:12" ht="14.4">
      <c r="A19" s="15">
        <v>138</v>
      </c>
      <c r="B19" s="16" t="s">
        <v>77</v>
      </c>
      <c r="C19" s="16" t="s">
        <v>8</v>
      </c>
      <c r="D19" s="15">
        <v>26</v>
      </c>
      <c r="E19" s="16" t="s">
        <v>69</v>
      </c>
      <c r="F19" s="16" t="s">
        <v>10</v>
      </c>
      <c r="G19" s="15">
        <v>73</v>
      </c>
      <c r="L19" s="29"/>
    </row>
    <row r="20" spans="1:12" ht="14.4">
      <c r="A20" s="15">
        <v>139</v>
      </c>
      <c r="B20" s="16" t="s">
        <v>81</v>
      </c>
      <c r="C20" s="16" t="s">
        <v>13</v>
      </c>
      <c r="D20" s="15">
        <v>24</v>
      </c>
      <c r="E20" s="16" t="s">
        <v>69</v>
      </c>
      <c r="F20" s="16" t="s">
        <v>22</v>
      </c>
      <c r="G20" s="15">
        <v>76</v>
      </c>
      <c r="L20" s="29"/>
    </row>
    <row r="21" spans="1:12" ht="14.4">
      <c r="A21" s="15">
        <v>140</v>
      </c>
      <c r="B21" s="16" t="s">
        <v>82</v>
      </c>
      <c r="C21" s="16" t="s">
        <v>8</v>
      </c>
      <c r="D21" s="15">
        <v>23</v>
      </c>
      <c r="E21" s="16" t="s">
        <v>21</v>
      </c>
      <c r="F21" s="16" t="s">
        <v>10</v>
      </c>
      <c r="G21" s="15">
        <v>82</v>
      </c>
      <c r="L21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Soutrik Saha</cp:lastModifiedBy>
  <dcterms:created xsi:type="dcterms:W3CDTF">2025-02-01T03:05:08Z</dcterms:created>
  <dcterms:modified xsi:type="dcterms:W3CDTF">2026-09-07T04:52:43Z</dcterms:modified>
</cp:coreProperties>
</file>