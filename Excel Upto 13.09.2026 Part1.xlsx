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4.xml" ContentType="application/vnd.openxmlformats-officedocument.drawing+xml"/>
  <Override PartName="/xl/pivotTables/pivotTable16.xml" ContentType="application/vnd.openxmlformats-officedocument.spreadsheetml.pivotTable+xml"/>
  <Override PartName="/xl/drawings/drawing5.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6.xml" ContentType="application/vnd.openxmlformats-officedocument.drawing+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drawings/drawing7.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A:\DATA ANALYTICS CLASSES\"/>
    </mc:Choice>
  </mc:AlternateContent>
  <xr:revisionPtr revIDLastSave="0" documentId="8_{C8BC4B92-1BEA-40A3-A8B8-B0AC8BB23AA8}" xr6:coauthVersionLast="47" xr6:coauthVersionMax="47" xr10:uidLastSave="{00000000-0000-0000-0000-000000000000}"/>
  <bookViews>
    <workbookView xWindow="-103" yWindow="-103" windowWidth="24892" windowHeight="14914" tabRatio="910" firstSheet="14" activeTab="19" xr2:uid="{F284257B-9CBC-40AE-8299-3485D57C5799}"/>
  </bookViews>
  <sheets>
    <sheet name="Sheet1" sheetId="1" r:id="rId1"/>
    <sheet name="Sheet2" sheetId="2" r:id="rId2"/>
    <sheet name="Sheet3" sheetId="3" r:id="rId3"/>
    <sheet name="Sheet4" sheetId="4" r:id="rId4"/>
    <sheet name="05.09.2026 Part1" sheetId="5" r:id="rId5"/>
    <sheet name="05.09.2026 Part2 Practice Sheet" sheetId="6" r:id="rId6"/>
    <sheet name="06.09.2026 Part1" sheetId="7" r:id="rId7"/>
    <sheet name="06.09.2026 Part2" sheetId="8" r:id="rId8"/>
    <sheet name="06.09.2026 Part3" sheetId="9" r:id="rId9"/>
    <sheet name="12.09.2026 Part1" sheetId="10" r:id="rId10"/>
    <sheet name="12.09.2026 Part2" sheetId="16" r:id="rId11"/>
    <sheet name="12.09.2026 Part3" sheetId="18" r:id="rId12"/>
    <sheet name="Sheet5" sheetId="19" r:id="rId13"/>
    <sheet name="Pivot Table" sheetId="11" r:id="rId14"/>
    <sheet name="count no of sales man in each R" sheetId="12" r:id="rId15"/>
    <sheet name="show max sales in each category" sheetId="13" r:id="rId16"/>
    <sheet name="show month wise total sales " sheetId="14" r:id="rId17"/>
    <sheet name="Sheet10" sheetId="15" r:id="rId18"/>
    <sheet name="Subtotal" sheetId="17" r:id="rId19"/>
    <sheet name="13.09.2026 Part1" sheetId="20" r:id="rId20"/>
  </sheets>
  <definedNames>
    <definedName name="Slicer_Category">#N/A</definedName>
    <definedName name="Slicer_Region">#N/A</definedName>
  </definedNames>
  <calcPr calcId="191029"/>
  <pivotCaches>
    <pivotCache cacheId="0" r:id="rId21"/>
    <pivotCache cacheId="1" r:id="rId22"/>
    <pivotCache cacheId="2" r:id="rId23"/>
    <pivotCache cacheId="3" r:id="rId24"/>
    <pivotCache cacheId="4" r:id="rId25"/>
    <pivotCache cacheId="5" r:id="rId26"/>
  </pivotCaches>
  <fileRecoveryPr repairLoad="1"/>
  <extLst>
    <ext xmlns:x14="http://schemas.microsoft.com/office/spreadsheetml/2009/9/main" uri="{BBE1A952-AA13-448e-AADC-164F8A28A991}">
      <x14:slicerCaches>
        <x14:slicerCache r:id="rId27"/>
        <x14:slicerCache r:id="rId2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2" i="20" l="1"/>
  <c r="J21" i="20"/>
  <c r="J20" i="20"/>
  <c r="J19" i="20"/>
  <c r="J18" i="20"/>
  <c r="J17" i="20"/>
  <c r="J16" i="20"/>
  <c r="J15" i="20"/>
  <c r="J14" i="20"/>
  <c r="J13" i="20"/>
  <c r="J12" i="20"/>
  <c r="J11" i="20"/>
  <c r="J10" i="20"/>
  <c r="J9" i="20"/>
  <c r="J8" i="20"/>
  <c r="J7" i="20"/>
  <c r="J6" i="20"/>
  <c r="J5" i="20"/>
  <c r="J4" i="20"/>
  <c r="J3" i="20"/>
  <c r="K28" i="17"/>
  <c r="K27" i="17"/>
  <c r="K25" i="17"/>
  <c r="K22" i="17"/>
  <c r="K18" i="17"/>
  <c r="K13" i="17"/>
  <c r="K5" i="17"/>
  <c r="AE6" i="18"/>
  <c r="Q51" i="16"/>
  <c r="Q50" i="16"/>
  <c r="Q49" i="16"/>
  <c r="Q48" i="16"/>
  <c r="Q47" i="16"/>
  <c r="Q46" i="16"/>
  <c r="Q45" i="16"/>
  <c r="Q44" i="16"/>
  <c r="Q43" i="16"/>
  <c r="Q42" i="16"/>
  <c r="Q41" i="16"/>
  <c r="Q40" i="16"/>
  <c r="Q39" i="16"/>
  <c r="Q38" i="16"/>
  <c r="Q37" i="16"/>
  <c r="Q36" i="16"/>
  <c r="Q35" i="16"/>
  <c r="Q34" i="16"/>
  <c r="Q33" i="16"/>
  <c r="Q32" i="16"/>
  <c r="Q31" i="16"/>
  <c r="Q30" i="16"/>
  <c r="Q29" i="16"/>
  <c r="Q28" i="16"/>
  <c r="Q27" i="16"/>
  <c r="Q26" i="16"/>
  <c r="Q25" i="16"/>
  <c r="Q24" i="16"/>
  <c r="Q23" i="16"/>
  <c r="Q22" i="16"/>
  <c r="Q21" i="16"/>
  <c r="Q20" i="16"/>
  <c r="Q19" i="16"/>
  <c r="Q18" i="16"/>
  <c r="Q17" i="16"/>
  <c r="Q16" i="16"/>
  <c r="Q15" i="16"/>
  <c r="Q14" i="16"/>
  <c r="Q13" i="16"/>
  <c r="Q12" i="16"/>
  <c r="Q11" i="16"/>
  <c r="Q10" i="16"/>
  <c r="Q9" i="16"/>
  <c r="Q8" i="16"/>
  <c r="Q7" i="16"/>
  <c r="Q6" i="16"/>
  <c r="Q5" i="16"/>
  <c r="Q4" i="16"/>
  <c r="Q3" i="16"/>
  <c r="J8" i="10"/>
  <c r="J6" i="10"/>
  <c r="J3" i="10"/>
  <c r="F7" i="9"/>
  <c r="C3" i="9"/>
  <c r="T59" i="8"/>
  <c r="T58" i="8"/>
  <c r="D58" i="8"/>
  <c r="C58" i="8"/>
  <c r="B58" i="8"/>
  <c r="T57" i="8"/>
  <c r="T56" i="8"/>
  <c r="R52" i="8"/>
  <c r="Q52" i="8"/>
  <c r="P52" i="8"/>
  <c r="R51" i="8"/>
  <c r="Q51" i="8"/>
  <c r="P51" i="8"/>
  <c r="R50" i="8"/>
  <c r="Q50" i="8"/>
  <c r="P50" i="8"/>
  <c r="R49" i="8"/>
  <c r="Q49" i="8"/>
  <c r="P49" i="8"/>
  <c r="R48" i="8"/>
  <c r="Q48" i="8"/>
  <c r="P48" i="8"/>
  <c r="R47" i="8"/>
  <c r="Q47" i="8"/>
  <c r="P47" i="8"/>
  <c r="R46" i="8"/>
  <c r="Q46" i="8"/>
  <c r="P46" i="8"/>
  <c r="R45" i="8"/>
  <c r="Q45" i="8"/>
  <c r="P45" i="8"/>
  <c r="R44" i="8"/>
  <c r="Q44" i="8"/>
  <c r="P44" i="8"/>
  <c r="R43" i="8"/>
  <c r="Q43" i="8"/>
  <c r="P43" i="8"/>
  <c r="R42" i="8"/>
  <c r="Q42" i="8"/>
  <c r="P42" i="8"/>
  <c r="R41" i="8"/>
  <c r="Q41" i="8"/>
  <c r="P41" i="8"/>
  <c r="R40" i="8"/>
  <c r="Q40" i="8"/>
  <c r="P40" i="8"/>
  <c r="R39" i="8"/>
  <c r="Q39" i="8"/>
  <c r="P39" i="8"/>
  <c r="R38" i="8"/>
  <c r="Q38" i="8"/>
  <c r="P38" i="8"/>
  <c r="R37" i="8"/>
  <c r="Q37" i="8"/>
  <c r="P37" i="8"/>
  <c r="R36" i="8"/>
  <c r="Q36" i="8"/>
  <c r="P36" i="8"/>
  <c r="R35" i="8"/>
  <c r="Q35" i="8"/>
  <c r="P35" i="8"/>
  <c r="R34" i="8"/>
  <c r="Q34" i="8"/>
  <c r="P34" i="8"/>
  <c r="R33" i="8"/>
  <c r="Q33" i="8"/>
  <c r="P33" i="8"/>
  <c r="R32" i="8"/>
  <c r="Q32" i="8"/>
  <c r="P32" i="8"/>
  <c r="R31" i="8"/>
  <c r="Q31" i="8"/>
  <c r="P31" i="8"/>
  <c r="R30" i="8"/>
  <c r="Q30" i="8"/>
  <c r="P30" i="8"/>
  <c r="R29" i="8"/>
  <c r="Q29" i="8"/>
  <c r="P29" i="8"/>
  <c r="R28" i="8"/>
  <c r="Q28" i="8"/>
  <c r="P28" i="8"/>
  <c r="R27" i="8"/>
  <c r="Q27" i="8"/>
  <c r="P27" i="8"/>
  <c r="R26" i="8"/>
  <c r="Q26" i="8"/>
  <c r="P26" i="8"/>
  <c r="AR25" i="8"/>
  <c r="R25" i="8"/>
  <c r="Q25" i="8"/>
  <c r="P25" i="8"/>
  <c r="AR24" i="8"/>
  <c r="R24" i="8"/>
  <c r="Q24" i="8"/>
  <c r="P24" i="8"/>
  <c r="R23" i="8"/>
  <c r="Q23" i="8"/>
  <c r="P23" i="8"/>
  <c r="R22" i="8"/>
  <c r="Q22" i="8"/>
  <c r="P22" i="8"/>
  <c r="R21" i="8"/>
  <c r="Q21" i="8"/>
  <c r="P21" i="8"/>
  <c r="AR20" i="8"/>
  <c r="R20" i="8"/>
  <c r="Q20" i="8"/>
  <c r="P20" i="8"/>
  <c r="R19" i="8"/>
  <c r="Q19" i="8"/>
  <c r="P19" i="8"/>
  <c r="R18" i="8"/>
  <c r="Q18" i="8"/>
  <c r="P18" i="8"/>
  <c r="AR17" i="8"/>
  <c r="R17" i="8"/>
  <c r="Q17" i="8"/>
  <c r="P17" i="8"/>
  <c r="R16" i="8"/>
  <c r="Q16" i="8"/>
  <c r="P16" i="8"/>
  <c r="R15" i="8"/>
  <c r="Q15" i="8"/>
  <c r="P15" i="8"/>
  <c r="R14" i="8"/>
  <c r="Q14" i="8"/>
  <c r="P14" i="8"/>
  <c r="AT13" i="8"/>
  <c r="AS13" i="8"/>
  <c r="R13" i="8"/>
  <c r="Q13" i="8"/>
  <c r="P13" i="8"/>
  <c r="AT12" i="8"/>
  <c r="AS12" i="8"/>
  <c r="R12" i="8"/>
  <c r="Q12" i="8"/>
  <c r="P12" i="8"/>
  <c r="AT11" i="8"/>
  <c r="AS11" i="8"/>
  <c r="R11" i="8"/>
  <c r="Q11" i="8"/>
  <c r="P11" i="8"/>
  <c r="AT10" i="8"/>
  <c r="AS10" i="8"/>
  <c r="AG10" i="8"/>
  <c r="R10" i="8"/>
  <c r="Q10" i="8"/>
  <c r="P10" i="8"/>
  <c r="AT9" i="8"/>
  <c r="AS9" i="8"/>
  <c r="AG9" i="8"/>
  <c r="R9" i="8"/>
  <c r="Q9" i="8"/>
  <c r="P9" i="8"/>
  <c r="AT8" i="8"/>
  <c r="AS8" i="8"/>
  <c r="AN8" i="8"/>
  <c r="AG8" i="8"/>
  <c r="R8" i="8"/>
  <c r="Q8" i="8"/>
  <c r="P8" i="8"/>
  <c r="AT7" i="8"/>
  <c r="AS7" i="8"/>
  <c r="AI7" i="8"/>
  <c r="AG7" i="8"/>
  <c r="R7" i="8"/>
  <c r="Q7" i="8"/>
  <c r="P7" i="8"/>
  <c r="AT6" i="8"/>
  <c r="AS6" i="8"/>
  <c r="AI6" i="8"/>
  <c r="AG6" i="8"/>
  <c r="R6" i="8"/>
  <c r="Q6" i="8"/>
  <c r="P6" i="8"/>
  <c r="AT5" i="8"/>
  <c r="AS5" i="8"/>
  <c r="AI5" i="8"/>
  <c r="R5" i="8"/>
  <c r="Q5" i="8"/>
  <c r="P5" i="8"/>
  <c r="AT4" i="8"/>
  <c r="AS4" i="8"/>
  <c r="AJ4" i="8"/>
  <c r="AI4" i="8"/>
  <c r="AG4" i="8"/>
  <c r="Y4" i="8"/>
  <c r="R4" i="8"/>
  <c r="Q4" i="8"/>
  <c r="P4" i="8"/>
  <c r="AT3" i="8"/>
  <c r="AS3" i="8"/>
  <c r="AL3" i="8"/>
  <c r="AN3" i="8" s="1"/>
  <c r="AK3" i="8"/>
  <c r="AJ3" i="8"/>
  <c r="AI3" i="8"/>
  <c r="AG3" i="8"/>
  <c r="AE3" i="8"/>
  <c r="AC3" i="8"/>
  <c r="AB3" i="8"/>
  <c r="Z3" i="8"/>
  <c r="Y3" i="8"/>
  <c r="X3" i="8"/>
  <c r="W3" i="8"/>
  <c r="V3" i="8"/>
  <c r="U3" i="8"/>
  <c r="T3" i="8"/>
  <c r="S3" i="8"/>
  <c r="R3" i="8"/>
  <c r="Q3" i="8"/>
  <c r="P3" i="8"/>
  <c r="R114" i="7"/>
  <c r="T110" i="7"/>
  <c r="S110" i="7"/>
  <c r="T109" i="7"/>
  <c r="S109" i="7"/>
  <c r="T108" i="7"/>
  <c r="S108" i="7"/>
  <c r="T107" i="7"/>
  <c r="S107" i="7"/>
  <c r="T106" i="7"/>
  <c r="S106" i="7"/>
  <c r="T105" i="7"/>
  <c r="S105" i="7"/>
  <c r="T104" i="7"/>
  <c r="S104" i="7"/>
  <c r="T103" i="7"/>
  <c r="S103" i="7"/>
  <c r="T102" i="7"/>
  <c r="S102" i="7"/>
  <c r="T101" i="7"/>
  <c r="S101" i="7"/>
  <c r="T100" i="7"/>
  <c r="S100" i="7"/>
  <c r="I17" i="7"/>
  <c r="I16" i="7"/>
  <c r="I13" i="7"/>
  <c r="I10" i="7"/>
  <c r="I7" i="7"/>
  <c r="I6" i="7"/>
  <c r="I4" i="7"/>
  <c r="B1" i="7"/>
  <c r="O12" i="6"/>
  <c r="N12" i="6"/>
  <c r="M12" i="6"/>
  <c r="L12" i="6"/>
  <c r="K12" i="6"/>
  <c r="O11" i="6"/>
  <c r="N11" i="6"/>
  <c r="M11" i="6"/>
  <c r="L11" i="6"/>
  <c r="K11" i="6"/>
  <c r="O5" i="6"/>
  <c r="N5" i="6"/>
  <c r="M5" i="6"/>
  <c r="L5" i="6"/>
  <c r="K5" i="6"/>
  <c r="O4" i="6"/>
  <c r="N4" i="6"/>
  <c r="M4" i="6"/>
  <c r="L4" i="6"/>
  <c r="K4" i="6"/>
  <c r="O3" i="6"/>
  <c r="N3" i="6"/>
  <c r="M3" i="6"/>
  <c r="L3" i="6"/>
  <c r="K3" i="6"/>
  <c r="H123" i="5"/>
  <c r="H122" i="5"/>
  <c r="H121" i="5"/>
  <c r="H120" i="5"/>
  <c r="H119" i="5"/>
  <c r="H118" i="5"/>
  <c r="H117" i="5"/>
  <c r="H116" i="5"/>
  <c r="H115" i="5"/>
  <c r="H114" i="5"/>
  <c r="C109" i="5"/>
  <c r="L83" i="5"/>
  <c r="L82" i="5"/>
  <c r="L81" i="5"/>
  <c r="L80" i="5"/>
  <c r="L79" i="5"/>
  <c r="L78" i="5"/>
  <c r="L77" i="5"/>
  <c r="M76" i="5"/>
  <c r="L76" i="5"/>
  <c r="L75" i="5"/>
  <c r="M74" i="5"/>
  <c r="L74" i="5"/>
  <c r="L73" i="5"/>
  <c r="L72" i="5"/>
  <c r="L71" i="5"/>
  <c r="L70" i="5"/>
  <c r="L69" i="5"/>
  <c r="L68" i="5"/>
  <c r="L67" i="5"/>
  <c r="L66" i="5"/>
  <c r="N65" i="5"/>
  <c r="L65" i="5"/>
  <c r="L64" i="5"/>
  <c r="L63" i="5"/>
  <c r="L62" i="5"/>
  <c r="L61" i="5"/>
  <c r="L60" i="5"/>
  <c r="L59" i="5"/>
  <c r="O58" i="5"/>
  <c r="N58" i="5"/>
  <c r="L58" i="5"/>
  <c r="O57" i="5"/>
  <c r="N57" i="5"/>
  <c r="L57" i="5"/>
  <c r="O56" i="5"/>
  <c r="N56" i="5"/>
  <c r="L56" i="5"/>
  <c r="O55" i="5"/>
  <c r="N55" i="5"/>
  <c r="L55" i="5"/>
  <c r="B37" i="5"/>
  <c r="B35" i="5"/>
  <c r="J32" i="5"/>
  <c r="G32" i="5"/>
  <c r="B32" i="5"/>
  <c r="B30" i="5"/>
  <c r="J29" i="5"/>
  <c r="H29" i="5"/>
  <c r="G29" i="5"/>
  <c r="B28" i="5"/>
  <c r="G25" i="5"/>
  <c r="B23" i="5"/>
  <c r="B22" i="5"/>
  <c r="B21" i="5"/>
  <c r="B20" i="5"/>
  <c r="G17" i="5"/>
  <c r="B16" i="5"/>
  <c r="B15" i="5"/>
  <c r="G14" i="5"/>
  <c r="B14" i="5"/>
  <c r="G5" i="5"/>
  <c r="G4" i="5"/>
  <c r="G3" i="5"/>
  <c r="F18" i="4"/>
  <c r="F17" i="4"/>
  <c r="B17" i="4"/>
  <c r="D16" i="4"/>
  <c r="K15" i="4"/>
  <c r="B15" i="4"/>
  <c r="M14" i="4"/>
  <c r="D14" i="4"/>
  <c r="L27" i="3"/>
  <c r="K27" i="3"/>
  <c r="J27" i="3"/>
  <c r="I27" i="3"/>
  <c r="H27" i="3"/>
  <c r="G27" i="3"/>
  <c r="E27" i="3"/>
  <c r="L19" i="3"/>
  <c r="J19" i="3"/>
  <c r="I19" i="3"/>
  <c r="H19" i="3"/>
  <c r="G19" i="3"/>
  <c r="E19" i="3"/>
  <c r="L16" i="3"/>
  <c r="J16" i="3"/>
  <c r="I16" i="3"/>
  <c r="H16" i="3"/>
  <c r="G16" i="3"/>
  <c r="E16" i="3"/>
  <c r="L9" i="3"/>
  <c r="J9" i="3"/>
  <c r="I9" i="3"/>
  <c r="H9" i="3"/>
  <c r="G9" i="3"/>
  <c r="L8" i="3"/>
  <c r="J8" i="3"/>
  <c r="I8" i="3"/>
  <c r="H8" i="3"/>
  <c r="G8" i="3"/>
  <c r="L7" i="3"/>
  <c r="J7" i="3"/>
  <c r="I7" i="3"/>
  <c r="H7" i="3"/>
  <c r="G7" i="3"/>
  <c r="E7" i="3"/>
  <c r="G16" i="2"/>
  <c r="F16" i="2"/>
  <c r="H13" i="2"/>
  <c r="G13" i="2"/>
  <c r="F13" i="2"/>
  <c r="H12" i="2"/>
  <c r="G12" i="2"/>
  <c r="F12" i="2"/>
  <c r="H11" i="2"/>
  <c r="G11" i="2"/>
  <c r="F11" i="2"/>
  <c r="K14" i="1"/>
  <c r="J14" i="1"/>
  <c r="I14" i="1"/>
  <c r="H14" i="1"/>
  <c r="K13" i="1"/>
  <c r="J13" i="1"/>
  <c r="I13" i="1"/>
  <c r="H13" i="1"/>
  <c r="K12" i="1"/>
  <c r="J12" i="1"/>
  <c r="I12" i="1"/>
  <c r="H12" i="1"/>
  <c r="K11" i="1"/>
  <c r="J11" i="1"/>
  <c r="I11" i="1"/>
  <c r="H11" i="1"/>
  <c r="K10" i="1"/>
  <c r="J10" i="1"/>
  <c r="I10" i="1"/>
  <c r="H10" i="1"/>
  <c r="K9" i="1"/>
  <c r="J9" i="1"/>
  <c r="I9" i="1"/>
  <c r="H9" i="1"/>
  <c r="K8" i="1"/>
  <c r="J8" i="1"/>
  <c r="I8" i="1"/>
  <c r="H8" i="1"/>
  <c r="K7" i="1"/>
  <c r="J7" i="1"/>
  <c r="I7" i="1"/>
  <c r="H7" i="1"/>
  <c r="L6" i="1"/>
  <c r="K6" i="1"/>
  <c r="J6" i="1"/>
  <c r="I6" i="1"/>
  <c r="H6" i="1"/>
  <c r="L5" i="1"/>
  <c r="K5" i="1"/>
  <c r="J5" i="1"/>
  <c r="I5" i="1"/>
  <c r="H5" i="1"/>
  <c r="M4" i="1"/>
  <c r="L4" i="1"/>
  <c r="K4" i="1"/>
  <c r="J4" i="1"/>
  <c r="I4" i="1"/>
  <c r="H4" i="1"/>
  <c r="AO3" i="8" l="1"/>
  <c r="AM3" i="8"/>
</calcChain>
</file>

<file path=xl/sharedStrings.xml><?xml version="1.0" encoding="utf-8"?>
<sst xmlns="http://schemas.openxmlformats.org/spreadsheetml/2006/main" count="3295" uniqueCount="841">
  <si>
    <t>Student Report Card</t>
  </si>
  <si>
    <t>RollNo</t>
  </si>
  <si>
    <t>Name</t>
  </si>
  <si>
    <t>Excel</t>
  </si>
  <si>
    <t>Python</t>
  </si>
  <si>
    <t>SQL</t>
  </si>
  <si>
    <t>ML</t>
  </si>
  <si>
    <t>GENAI</t>
  </si>
  <si>
    <t>Total Marks</t>
  </si>
  <si>
    <t>Max</t>
  </si>
  <si>
    <t>Avg</t>
  </si>
  <si>
    <t>Min</t>
  </si>
  <si>
    <t>Result</t>
  </si>
  <si>
    <t>Grade</t>
  </si>
  <si>
    <t>BILL CALCULATION</t>
  </si>
  <si>
    <t>ITEM CODE</t>
  </si>
  <si>
    <t>PRICE</t>
  </si>
  <si>
    <t>QTY</t>
  </si>
  <si>
    <t>CITY</t>
  </si>
  <si>
    <t>TOTAL AMOUNT</t>
  </si>
  <si>
    <t>DISSCOUNT</t>
  </si>
  <si>
    <t>TOTAL PAID</t>
  </si>
  <si>
    <t>PUNE</t>
  </si>
  <si>
    <t>CHENNAI</t>
  </si>
  <si>
    <t>IF TOTAL AMOUNT IS &lt;500 DIS IS 5%, &gt;500 Dis 10%)</t>
  </si>
  <si>
    <t>DELHI</t>
  </si>
  <si>
    <t>USER</t>
  </si>
  <si>
    <t>STUDENT</t>
  </si>
  <si>
    <t>TEACHER</t>
  </si>
  <si>
    <t>STAFF</t>
  </si>
  <si>
    <t>KOLKATA</t>
  </si>
  <si>
    <t>EMP IP</t>
  </si>
  <si>
    <t>NAME</t>
  </si>
  <si>
    <t>BASIC</t>
  </si>
  <si>
    <t>HRA(10%)</t>
  </si>
  <si>
    <t>CCA(12%)</t>
  </si>
  <si>
    <t>DA(15%)</t>
  </si>
  <si>
    <t>PF(20%)</t>
  </si>
  <si>
    <t>GS(BASIC+HRA+CCA+DA)</t>
  </si>
  <si>
    <t>NET SALARY(INHAND)(GS-PF)</t>
  </si>
  <si>
    <t>JEET</t>
  </si>
  <si>
    <t>SALARY PAYSLIP1</t>
  </si>
  <si>
    <t>SALARY PAYSLIP2</t>
  </si>
  <si>
    <t>CITY TYPE</t>
  </si>
  <si>
    <t>METRO</t>
  </si>
  <si>
    <t>NON METRO</t>
  </si>
  <si>
    <t>IF BASIC &lt;= 5000 5% OTHER 10%</t>
  </si>
  <si>
    <t>METRO 5% NO METRO 10%</t>
  </si>
  <si>
    <t>BASIC &lt;= 5000 500 OTHER WISE 12%</t>
  </si>
  <si>
    <t>SAM</t>
  </si>
  <si>
    <t>No of Leave</t>
  </si>
  <si>
    <t>Leave Amount</t>
  </si>
  <si>
    <t>2000/30*noL</t>
  </si>
  <si>
    <t>gs-(Lamount-pf)</t>
  </si>
  <si>
    <t>COUNTA</t>
  </si>
  <si>
    <t>COUNT</t>
  </si>
  <si>
    <t>COUNTIF</t>
  </si>
  <si>
    <t>ITEM</t>
  </si>
  <si>
    <t>MARKS</t>
  </si>
  <si>
    <t>count how many students are pass(40)</t>
  </si>
  <si>
    <t>ATTENDENCE</t>
  </si>
  <si>
    <t>P</t>
  </si>
  <si>
    <t>A</t>
  </si>
  <si>
    <t>NO OF STUDENTS PRESENT</t>
  </si>
  <si>
    <t>NO OF STUDENTS ABSENT</t>
  </si>
  <si>
    <t>COUNTIFS</t>
  </si>
  <si>
    <t>AGE</t>
  </si>
  <si>
    <t>GENDER</t>
  </si>
  <si>
    <t>MALE</t>
  </si>
  <si>
    <t>FEMALE</t>
  </si>
  <si>
    <t>COUNT IF FEMALE WITH AGE 18 ABOVE</t>
  </si>
  <si>
    <t>CREDIT SCORE</t>
  </si>
  <si>
    <t>YEARS USING</t>
  </si>
  <si>
    <t>SUM</t>
  </si>
  <si>
    <t>SUMIF</t>
  </si>
  <si>
    <t>SUMIFS</t>
  </si>
  <si>
    <t>FRUITS</t>
  </si>
  <si>
    <t>APPLE</t>
  </si>
  <si>
    <t>KIWI</t>
  </si>
  <si>
    <t>LEMON</t>
  </si>
  <si>
    <t>COUNT FUNCTION</t>
  </si>
  <si>
    <t>COUNTA FUNCTION</t>
  </si>
  <si>
    <t>Product_ID</t>
  </si>
  <si>
    <t>Product_Name</t>
  </si>
  <si>
    <t>Category</t>
  </si>
  <si>
    <t>Unit_Price</t>
  </si>
  <si>
    <t>Supplier</t>
  </si>
  <si>
    <t>P101</t>
  </si>
  <si>
    <t>Laptop</t>
  </si>
  <si>
    <t>Electronics</t>
  </si>
  <si>
    <t>HP</t>
  </si>
  <si>
    <t>P102</t>
  </si>
  <si>
    <t>Keyboard</t>
  </si>
  <si>
    <t>Logitech</t>
  </si>
  <si>
    <t>P103</t>
  </si>
  <si>
    <t>Office Chair</t>
  </si>
  <si>
    <t>Furniture</t>
  </si>
  <si>
    <t>FeatherLite</t>
  </si>
  <si>
    <t>P104</t>
  </si>
  <si>
    <t>Desk</t>
  </si>
  <si>
    <t>IKEA</t>
  </si>
  <si>
    <t>P105</t>
  </si>
  <si>
    <t>Mouse</t>
  </si>
  <si>
    <t>P106</t>
  </si>
  <si>
    <t>Printer</t>
  </si>
  <si>
    <t>Canon</t>
  </si>
  <si>
    <t>P107</t>
  </si>
  <si>
    <t>Monitor</t>
  </si>
  <si>
    <t>Dell</t>
  </si>
  <si>
    <t>P108</t>
  </si>
  <si>
    <t>Bookshelf</t>
  </si>
  <si>
    <t>P109</t>
  </si>
  <si>
    <t>Headphones</t>
  </si>
  <si>
    <t>Sony</t>
  </si>
  <si>
    <t>P110</t>
  </si>
  <si>
    <t>Webcam</t>
  </si>
  <si>
    <t>Lenovo</t>
  </si>
  <si>
    <t>Show the price of P101</t>
  </si>
  <si>
    <t>VLOOKUP</t>
  </si>
  <si>
    <t>Show the Price of Laptop</t>
  </si>
  <si>
    <t>Show the supplier of Mouse</t>
  </si>
  <si>
    <t>Product Name</t>
  </si>
  <si>
    <t>Unit Price</t>
  </si>
  <si>
    <t>Show the Product ID of HP</t>
  </si>
  <si>
    <t>Xlookup</t>
  </si>
  <si>
    <t>EID</t>
  </si>
  <si>
    <t>Age</t>
  </si>
  <si>
    <t>Gender</t>
  </si>
  <si>
    <t>Department</t>
  </si>
  <si>
    <t>Job_Role</t>
  </si>
  <si>
    <t>Salary</t>
  </si>
  <si>
    <t>Experience_Years</t>
  </si>
  <si>
    <t>City</t>
  </si>
  <si>
    <t>Joining_Date</t>
  </si>
  <si>
    <t>Performance_Rating</t>
  </si>
  <si>
    <t>Rahul Sharma</t>
  </si>
  <si>
    <t>Male</t>
  </si>
  <si>
    <t>IT</t>
  </si>
  <si>
    <t>Developer</t>
  </si>
  <si>
    <t>Delhi</t>
  </si>
  <si>
    <t>Priya Verma</t>
  </si>
  <si>
    <t>Female</t>
  </si>
  <si>
    <t>HR</t>
  </si>
  <si>
    <t>HR Manager</t>
  </si>
  <si>
    <t>Mumbai</t>
  </si>
  <si>
    <t>Amit Kumar</t>
  </si>
  <si>
    <t>Finance</t>
  </si>
  <si>
    <t>Accountant</t>
  </si>
  <si>
    <t>Sneha Singh</t>
  </si>
  <si>
    <t>Data Analyst</t>
  </si>
  <si>
    <t>Bangalore</t>
  </si>
  <si>
    <t>Rohit Gupta</t>
  </si>
  <si>
    <t>Sales</t>
  </si>
  <si>
    <t>Sales Manager</t>
  </si>
  <si>
    <t>Pune</t>
  </si>
  <si>
    <t>Neha Kapoor</t>
  </si>
  <si>
    <t>Marketing</t>
  </si>
  <si>
    <t>Executive</t>
  </si>
  <si>
    <t>Vikram Mehta</t>
  </si>
  <si>
    <t>Team Lead</t>
  </si>
  <si>
    <t>Hyderabad</t>
  </si>
  <si>
    <t>Anjali Rao</t>
  </si>
  <si>
    <t>Financial Analyst</t>
  </si>
  <si>
    <t>Karan Malhotra</t>
  </si>
  <si>
    <t>Sales Executive</t>
  </si>
  <si>
    <t>Pooja Sharma</t>
  </si>
  <si>
    <t>Recruiter</t>
  </si>
  <si>
    <t>Arjun Patel</t>
  </si>
  <si>
    <t>Ahmedabad</t>
  </si>
  <si>
    <t>Meena Joshi</t>
  </si>
  <si>
    <t>Finance Manager</t>
  </si>
  <si>
    <t>Suresh Yadav</t>
  </si>
  <si>
    <t>Jaipur</t>
  </si>
  <si>
    <t>Kavita Nair</t>
  </si>
  <si>
    <t>Project Manager</t>
  </si>
  <si>
    <t>Manish Verma</t>
  </si>
  <si>
    <t>Chennai</t>
  </si>
  <si>
    <t>Riya Kapoor</t>
  </si>
  <si>
    <t>HR Executive</t>
  </si>
  <si>
    <t>Deepak Singh</t>
  </si>
  <si>
    <t>Senior Developer</t>
  </si>
  <si>
    <t>Nisha Agarwal</t>
  </si>
  <si>
    <t>Marketing Manager</t>
  </si>
  <si>
    <t>Varun Shah</t>
  </si>
  <si>
    <t>Simran Kaur</t>
  </si>
  <si>
    <t>Chandigarh</t>
  </si>
  <si>
    <t>Akash Jain</t>
  </si>
  <si>
    <t>Architect</t>
  </si>
  <si>
    <t>Divya Menon</t>
  </si>
  <si>
    <t>Kochi</t>
  </si>
  <si>
    <t>Naveen Reddy</t>
  </si>
  <si>
    <t>Shweta Mishra</t>
  </si>
  <si>
    <t>Lucknow</t>
  </si>
  <si>
    <t>Rajesh Kumar</t>
  </si>
  <si>
    <t>IT Manager</t>
  </si>
  <si>
    <t>Tanya Gupta</t>
  </si>
  <si>
    <t>Mohit Bansal</t>
  </si>
  <si>
    <t>Senior Accountant</t>
  </si>
  <si>
    <t>Ayesha Khan</t>
  </si>
  <si>
    <t>Sanjay Patel</t>
  </si>
  <si>
    <t>JOB ROLE</t>
  </si>
  <si>
    <t>W A Q FUNCTION TO CALCULATE TOTAL SALARY IN HR DEPT</t>
  </si>
  <si>
    <t>Employee ID</t>
  </si>
  <si>
    <t>E101</t>
  </si>
  <si>
    <t>E102</t>
  </si>
  <si>
    <t>E103</t>
  </si>
  <si>
    <t>E104</t>
  </si>
  <si>
    <t>E105</t>
  </si>
  <si>
    <t>E106</t>
  </si>
  <si>
    <t>E107</t>
  </si>
  <si>
    <t>E108</t>
  </si>
  <si>
    <t>E109</t>
  </si>
  <si>
    <t>E110</t>
  </si>
  <si>
    <t>Employee Name</t>
  </si>
  <si>
    <t>Rahul</t>
  </si>
  <si>
    <t>Ananya</t>
  </si>
  <si>
    <t>Rohan</t>
  </si>
  <si>
    <t>Priya</t>
  </si>
  <si>
    <t>Amit</t>
  </si>
  <si>
    <t>Neha</t>
  </si>
  <si>
    <t>Vikas</t>
  </si>
  <si>
    <t>Sneha</t>
  </si>
  <si>
    <t>Karan</t>
  </si>
  <si>
    <t>Pooja</t>
  </si>
  <si>
    <t>Noida</t>
  </si>
  <si>
    <t>Experience</t>
  </si>
  <si>
    <t>Question</t>
  </si>
  <si>
    <t>Lookup Employee ID</t>
  </si>
  <si>
    <t>Find Employee Name</t>
  </si>
  <si>
    <t>Find Department</t>
  </si>
  <si>
    <t>Find City</t>
  </si>
  <si>
    <t>Find Salary</t>
  </si>
  <si>
    <t>Find Experience</t>
  </si>
  <si>
    <t>Find Age</t>
  </si>
  <si>
    <t>W A FUNCTION  TO COUNT HOW MANY USERS ARE WORKING IN  IT DEPARTMENT</t>
  </si>
  <si>
    <t>HLOOKUP</t>
  </si>
  <si>
    <t>Salary based on employee id</t>
  </si>
  <si>
    <t>CREATE NEW COLUMN BONUS IF YOUR SALARY UPTO 50000 THE 5% OTHERWISE 10 %</t>
  </si>
  <si>
    <t>BONUS</t>
  </si>
  <si>
    <t>DONE</t>
  </si>
  <si>
    <t>Show the position of P109</t>
  </si>
  <si>
    <t>MATCH FUNCTION</t>
  </si>
  <si>
    <t>Show the position of SONY</t>
  </si>
  <si>
    <t>Show the matched value of position 3 of supplier</t>
  </si>
  <si>
    <t>index function</t>
  </si>
  <si>
    <t>show the position of Lenovo</t>
  </si>
  <si>
    <t>show the 5 position of product name</t>
  </si>
  <si>
    <t>show the price of webcam using match and index</t>
  </si>
  <si>
    <t>Show the Supplier of Mouse</t>
  </si>
  <si>
    <t>Show the unit price of keyboard</t>
  </si>
  <si>
    <t>show the unit price of Printer</t>
  </si>
  <si>
    <t>show category of webcam</t>
  </si>
  <si>
    <t>Emp_ID</t>
  </si>
  <si>
    <t>Dept</t>
  </si>
  <si>
    <t>Index-match</t>
  </si>
  <si>
    <t>Jatin</t>
  </si>
  <si>
    <t>M</t>
  </si>
  <si>
    <t>E4178</t>
  </si>
  <si>
    <t>E4181</t>
  </si>
  <si>
    <t>Vipul</t>
  </si>
  <si>
    <t>E4179</t>
  </si>
  <si>
    <t>E4193</t>
  </si>
  <si>
    <t>Mridul</t>
  </si>
  <si>
    <t>E4180</t>
  </si>
  <si>
    <t>Kanchan</t>
  </si>
  <si>
    <t>F</t>
  </si>
  <si>
    <t>Vibhor</t>
  </si>
  <si>
    <t>E4182</t>
  </si>
  <si>
    <t>Admin</t>
  </si>
  <si>
    <t>Shubham</t>
  </si>
  <si>
    <t>E4183</t>
  </si>
  <si>
    <t>Niharika</t>
  </si>
  <si>
    <t>E4184</t>
  </si>
  <si>
    <t>Ujjwal</t>
  </si>
  <si>
    <t>E4185</t>
  </si>
  <si>
    <t>Vivek</t>
  </si>
  <si>
    <t>E4186</t>
  </si>
  <si>
    <t>E4191</t>
  </si>
  <si>
    <t>Manan</t>
  </si>
  <si>
    <t>E4187</t>
  </si>
  <si>
    <t>Ritwik</t>
  </si>
  <si>
    <t>E4188</t>
  </si>
  <si>
    <t>Rishabh</t>
  </si>
  <si>
    <t>E4189</t>
  </si>
  <si>
    <t>Logistics</t>
  </si>
  <si>
    <t>Shubhi</t>
  </si>
  <si>
    <t>E4190</t>
  </si>
  <si>
    <t>Jyotsana</t>
  </si>
  <si>
    <t>Priyank</t>
  </si>
  <si>
    <t>E4192</t>
  </si>
  <si>
    <t>Hitesh</t>
  </si>
  <si>
    <t>Sonali</t>
  </si>
  <si>
    <t>E4194</t>
  </si>
  <si>
    <t>Kartik</t>
  </si>
  <si>
    <t>E4195</t>
  </si>
  <si>
    <t>Location</t>
  </si>
  <si>
    <t>Start Date</t>
  </si>
  <si>
    <t>Ab Lehrian</t>
  </si>
  <si>
    <t>NULL</t>
  </si>
  <si>
    <t>$82,240.77</t>
  </si>
  <si>
    <t>3 Redmond Way
Bellevue, WA
USA</t>
  </si>
  <si>
    <t>Abbie Tann</t>
  </si>
  <si>
    <t>Business Development</t>
  </si>
  <si>
    <t>$1,16,518.12</t>
  </si>
  <si>
    <t>Abe Gayter</t>
  </si>
  <si>
    <t>Training</t>
  </si>
  <si>
    <t>Abigael Basire</t>
  </si>
  <si>
    <t>Engineering</t>
  </si>
  <si>
    <t>$61,624.77</t>
  </si>
  <si>
    <t>8 Parliament Lane - Wellington, NZ</t>
  </si>
  <si>
    <t>Abramo Labbez</t>
  </si>
  <si>
    <t>Research and Development</t>
  </si>
  <si>
    <t>$76,998.38</t>
  </si>
  <si>
    <t>Abran Danielsky</t>
  </si>
  <si>
    <t>$32,716.22</t>
  </si>
  <si>
    <t>1 Infinite Loop, Los Angels, CA, USA</t>
  </si>
  <si>
    <t>Addi Studdeard</t>
  </si>
  <si>
    <t>Product Management</t>
  </si>
  <si>
    <t>$72,502.61</t>
  </si>
  <si>
    <t>Addia Penwright</t>
  </si>
  <si>
    <t>$28,132.33</t>
  </si>
  <si>
    <t>Addy Pimblett</t>
  </si>
  <si>
    <t>$66,461.92</t>
  </si>
  <si>
    <t>Adela Dowsett</t>
  </si>
  <si>
    <t>Support</t>
  </si>
  <si>
    <t>$95,017.10</t>
  </si>
  <si>
    <t>Adelina Cheeseman</t>
  </si>
  <si>
    <t>$45,512.10</t>
  </si>
  <si>
    <t>Adella Hartshorne</t>
  </si>
  <si>
    <t>Human Resources</t>
  </si>
  <si>
    <t>$41,155.71</t>
  </si>
  <si>
    <t>Adey Ryal</t>
  </si>
  <si>
    <t>Legal</t>
  </si>
  <si>
    <t>$32,496.88</t>
  </si>
  <si>
    <t>Adi Seawright</t>
  </si>
  <si>
    <t>$48,591.73</t>
  </si>
  <si>
    <t>Adolph Hartin</t>
  </si>
  <si>
    <t>$89,960.60</t>
  </si>
  <si>
    <t>Adolph McNalley</t>
  </si>
  <si>
    <t>$85,918.61</t>
  </si>
  <si>
    <t>Adrianne Gave</t>
  </si>
  <si>
    <t>$78,443.78</t>
  </si>
  <si>
    <t>Aeriela Aickin</t>
  </si>
  <si>
    <t>$37,550.51</t>
  </si>
  <si>
    <t>Aeriell Cuell</t>
  </si>
  <si>
    <t>$1,08,285.34</t>
  </si>
  <si>
    <t>Agnes Collicott</t>
  </si>
  <si>
    <t>$83,748.26</t>
  </si>
  <si>
    <t>Aida Bleacher</t>
  </si>
  <si>
    <t>$87,806.25</t>
  </si>
  <si>
    <t>Aile Strathearn</t>
  </si>
  <si>
    <t>$1,14,597.86</t>
  </si>
  <si>
    <t>Aileen McCritchie</t>
  </si>
  <si>
    <t>$80,169.42</t>
  </si>
  <si>
    <t>Aindrea Lenormand</t>
  </si>
  <si>
    <t>$71,180.77</t>
  </si>
  <si>
    <t>Aldrich Glenny</t>
  </si>
  <si>
    <t>$90,884.32</t>
  </si>
  <si>
    <t>Aleksandr Botha</t>
  </si>
  <si>
    <t>$60,264.93</t>
  </si>
  <si>
    <t>Alexandros Rackley</t>
  </si>
  <si>
    <t>$75,733.74</t>
  </si>
  <si>
    <t>Alexine Portail</t>
  </si>
  <si>
    <t>$60,327.47</t>
  </si>
  <si>
    <t>Alexis Gotfrey</t>
  </si>
  <si>
    <t>$1,14,465.93</t>
  </si>
  <si>
    <t>Alford Gerardi</t>
  </si>
  <si>
    <t>$37,128.34</t>
  </si>
  <si>
    <t>Alfred Peplay</t>
  </si>
  <si>
    <t>$60,576.12</t>
  </si>
  <si>
    <t>Ali Roubert</t>
  </si>
  <si>
    <t>$69,457.74</t>
  </si>
  <si>
    <t>Alic Bagg</t>
  </si>
  <si>
    <t>$1,13,747.56</t>
  </si>
  <si>
    <t>Alicea Pudsall</t>
  </si>
  <si>
    <t>Accounting</t>
  </si>
  <si>
    <t>$67,633.85</t>
  </si>
  <si>
    <t>Alida Welman</t>
  </si>
  <si>
    <t>$69,862.38</t>
  </si>
  <si>
    <t>Alikee Jecock</t>
  </si>
  <si>
    <t>$85,003.93</t>
  </si>
  <si>
    <t>Alisha Bloschke</t>
  </si>
  <si>
    <t>$36,476.64</t>
  </si>
  <si>
    <t>Alissa Schoenfisch</t>
  </si>
  <si>
    <t>$32,166.28</t>
  </si>
  <si>
    <t>Allene Gobbet</t>
  </si>
  <si>
    <t>$78,392.92</t>
  </si>
  <si>
    <t>Allyce Hincham</t>
  </si>
  <si>
    <t>$1,01,421.18</t>
  </si>
  <si>
    <t>Aloise MacCathay</t>
  </si>
  <si>
    <t>Aloisia Minto</t>
  </si>
  <si>
    <t>$41,420.28</t>
  </si>
  <si>
    <t>Alta Kaszper</t>
  </si>
  <si>
    <t>$54,974.11</t>
  </si>
  <si>
    <t>Althea Bronger</t>
  </si>
  <si>
    <t>$1,04,335.04</t>
  </si>
  <si>
    <t>Aluin Churly</t>
  </si>
  <si>
    <t>$96,555.53</t>
  </si>
  <si>
    <t>Alvie Keming</t>
  </si>
  <si>
    <t>$37,839.27</t>
  </si>
  <si>
    <t>Alyosha Riquet</t>
  </si>
  <si>
    <t>$89,838.77</t>
  </si>
  <si>
    <t>Alysa Wankling</t>
  </si>
  <si>
    <t>$1,06,462.05</t>
  </si>
  <si>
    <t>Amaleta Baltzar</t>
  </si>
  <si>
    <t>$70,077.56</t>
  </si>
  <si>
    <t>Amandy Jope</t>
  </si>
  <si>
    <t>$99,629.84</t>
  </si>
  <si>
    <t>Ambros Murthwaite</t>
  </si>
  <si>
    <t>$70,607.48</t>
  </si>
  <si>
    <t>Ambrosio Daniely</t>
  </si>
  <si>
    <t>$80,058.91</t>
  </si>
  <si>
    <t>Amii Elms</t>
  </si>
  <si>
    <t>$53,919.50</t>
  </si>
  <si>
    <t>Amitie Mawson</t>
  </si>
  <si>
    <t>$1,16,496.77</t>
  </si>
  <si>
    <t>Anabal Cooke</t>
  </si>
  <si>
    <t>$31,923.48</t>
  </si>
  <si>
    <t>Ancell Moretto</t>
  </si>
  <si>
    <t>$96,923.39</t>
  </si>
  <si>
    <t>Andrea Becker</t>
  </si>
  <si>
    <t>$46,163.82</t>
  </si>
  <si>
    <t>Andrea Penfold</t>
  </si>
  <si>
    <t>$70,227.90</t>
  </si>
  <si>
    <t>Andria Kimpton</t>
  </si>
  <si>
    <t>$69,117.17</t>
  </si>
  <si>
    <t>Angela Bangley</t>
  </si>
  <si>
    <t>$50,813.58</t>
  </si>
  <si>
    <t>Angeline Christophersen</t>
  </si>
  <si>
    <t>$86,942.20</t>
  </si>
  <si>
    <t>Anjanette Ferre</t>
  </si>
  <si>
    <t>$67,957.90</t>
  </si>
  <si>
    <t>Anjela Spancock</t>
  </si>
  <si>
    <t>$98,012.63</t>
  </si>
  <si>
    <t>Anne-corinne Daulby</t>
  </si>
  <si>
    <t>$78,644.38</t>
  </si>
  <si>
    <t>Anni Dinse</t>
  </si>
  <si>
    <t>$1,19,667.65</t>
  </si>
  <si>
    <t>Anni Izzard</t>
  </si>
  <si>
    <t>$1,03,494.94</t>
  </si>
  <si>
    <t>Ansley Gounel</t>
  </si>
  <si>
    <t>$38,438.24</t>
  </si>
  <si>
    <t>Antone Tolmie</t>
  </si>
  <si>
    <t>$1,10,815.53</t>
  </si>
  <si>
    <t>Antonetta Coggeshall</t>
  </si>
  <si>
    <t>$96,753.78</t>
  </si>
  <si>
    <t>Antonino Forsdicke</t>
  </si>
  <si>
    <t>$66,370.31</t>
  </si>
  <si>
    <t>Appolonia Snook</t>
  </si>
  <si>
    <t>Services</t>
  </si>
  <si>
    <t>$93,883.79</t>
  </si>
  <si>
    <t>Archaimbaud Pinchin</t>
  </si>
  <si>
    <t>$40,271.57</t>
  </si>
  <si>
    <t>Archibald Dyzart</t>
  </si>
  <si>
    <t>$63,022.98</t>
  </si>
  <si>
    <t>Archibald Filliskirk</t>
  </si>
  <si>
    <t>$40,404.47</t>
  </si>
  <si>
    <t>Ardella Dyment</t>
  </si>
  <si>
    <t>$70,649.46</t>
  </si>
  <si>
    <t>Aretha Ettridge</t>
  </si>
  <si>
    <t>$33,755.05</t>
  </si>
  <si>
    <t>Arlie Newcombe</t>
  </si>
  <si>
    <t>Arty Duigan</t>
  </si>
  <si>
    <t>$1,08,597.72</t>
  </si>
  <si>
    <t>Ashien Gallen</t>
  </si>
  <si>
    <t>$1,15,076.66</t>
  </si>
  <si>
    <t>nested if Formula</t>
  </si>
  <si>
    <t>count how many Male in dataset</t>
  </si>
  <si>
    <t>show department of Ab Lehrian</t>
  </si>
  <si>
    <t>match and index</t>
  </si>
  <si>
    <t>vlookup</t>
  </si>
  <si>
    <t>find out the position of Training department</t>
  </si>
  <si>
    <t>Match</t>
  </si>
  <si>
    <t xml:space="preserve">show which department at 7 position </t>
  </si>
  <si>
    <t>index</t>
  </si>
  <si>
    <t>show strat date of Ab Lehrian</t>
  </si>
  <si>
    <t>Customer_ID</t>
  </si>
  <si>
    <t>Customer_Name</t>
  </si>
  <si>
    <t>Product_Category</t>
  </si>
  <si>
    <t>Product</t>
  </si>
  <si>
    <t>Price</t>
  </si>
  <si>
    <t>Quantity</t>
  </si>
  <si>
    <t>Order_Date</t>
  </si>
  <si>
    <t>Payment_Mode</t>
  </si>
  <si>
    <t>Loan_Amount</t>
  </si>
  <si>
    <t>Loan_Tenure</t>
  </si>
  <si>
    <t>Interest_Rate</t>
  </si>
  <si>
    <t>Loan_Status</t>
  </si>
  <si>
    <t>C001</t>
  </si>
  <si>
    <t>UPI</t>
  </si>
  <si>
    <t>Approved</t>
  </si>
  <si>
    <t>C002</t>
  </si>
  <si>
    <t>Fashion</t>
  </si>
  <si>
    <t>Dress</t>
  </si>
  <si>
    <t>Credit Card</t>
  </si>
  <si>
    <t>C003</t>
  </si>
  <si>
    <t>Chair</t>
  </si>
  <si>
    <t>Net Banking</t>
  </si>
  <si>
    <t>C004</t>
  </si>
  <si>
    <t>Neha Singh</t>
  </si>
  <si>
    <t>Rejected</t>
  </si>
  <si>
    <t>C005</t>
  </si>
  <si>
    <t>Gurgaon</t>
  </si>
  <si>
    <t>Mobile</t>
  </si>
  <si>
    <t>C006</t>
  </si>
  <si>
    <t>Anjali Mehta</t>
  </si>
  <si>
    <t>Beauty</t>
  </si>
  <si>
    <t>Skincare Kit</t>
  </si>
  <si>
    <t>C007</t>
  </si>
  <si>
    <t>Vikas Yadav</t>
  </si>
  <si>
    <t>Grocery</t>
  </si>
  <si>
    <t>Rice Bag</t>
  </si>
  <si>
    <t>Cash</t>
  </si>
  <si>
    <t>C008</t>
  </si>
  <si>
    <t>Saree</t>
  </si>
  <si>
    <t>C009</t>
  </si>
  <si>
    <t>Suresh Patel</t>
  </si>
  <si>
    <t>Tablet</t>
  </si>
  <si>
    <t>C010</t>
  </si>
  <si>
    <t>Kavita Rao</t>
  </si>
  <si>
    <t>Home &amp; Kitchen</t>
  </si>
  <si>
    <t>Mixer</t>
  </si>
  <si>
    <t>C011</t>
  </si>
  <si>
    <t>Arjun Malhotra</t>
  </si>
  <si>
    <t>C012</t>
  </si>
  <si>
    <t>Shoes</t>
  </si>
  <si>
    <t>C013</t>
  </si>
  <si>
    <t>Manish Jain</t>
  </si>
  <si>
    <t>Table</t>
  </si>
  <si>
    <t>C014</t>
  </si>
  <si>
    <t>Perfume</t>
  </si>
  <si>
    <t>C015</t>
  </si>
  <si>
    <t>Deepak Verma</t>
  </si>
  <si>
    <t>Refrigerator</t>
  </si>
  <si>
    <t>C016</t>
  </si>
  <si>
    <t>Sneha Iyer</t>
  </si>
  <si>
    <t>Coffee</t>
  </si>
  <si>
    <t>C017</t>
  </si>
  <si>
    <t>Karan Singh</t>
  </si>
  <si>
    <t>Sofa</t>
  </si>
  <si>
    <t>C018</t>
  </si>
  <si>
    <t>Handbag</t>
  </si>
  <si>
    <t>C019</t>
  </si>
  <si>
    <t>TV</t>
  </si>
  <si>
    <t>C020</t>
  </si>
  <si>
    <t>Divya Shah</t>
  </si>
  <si>
    <t>Cookware</t>
  </si>
  <si>
    <t>C021</t>
  </si>
  <si>
    <t>Nitin Arora</t>
  </si>
  <si>
    <t>C022</t>
  </si>
  <si>
    <t>Jeans</t>
  </si>
  <si>
    <t>C023</t>
  </si>
  <si>
    <t>Mohit Agarwal</t>
  </si>
  <si>
    <t>Bed</t>
  </si>
  <si>
    <t>C024</t>
  </si>
  <si>
    <t>Isha Gupta</t>
  </si>
  <si>
    <t>Makeup Kit</t>
  </si>
  <si>
    <t>C025</t>
  </si>
  <si>
    <t>Varun Bansal</t>
  </si>
  <si>
    <t>Smartwatch</t>
  </si>
  <si>
    <t>C026</t>
  </si>
  <si>
    <t>Shweta Nair</t>
  </si>
  <si>
    <t>Dry Fruits</t>
  </si>
  <si>
    <t>C027</t>
  </si>
  <si>
    <t>Akash Mishra</t>
  </si>
  <si>
    <t>AC</t>
  </si>
  <si>
    <t>C028</t>
  </si>
  <si>
    <t>Tanya Sethi</t>
  </si>
  <si>
    <t>Jacket</t>
  </si>
  <si>
    <t>C029</t>
  </si>
  <si>
    <t>Sanjay Rao</t>
  </si>
  <si>
    <t>Wardrobe</t>
  </si>
  <si>
    <t>C030</t>
  </si>
  <si>
    <t>Nisha Patel</t>
  </si>
  <si>
    <t>Face Cream</t>
  </si>
  <si>
    <t>C031</t>
  </si>
  <si>
    <t>Abhishek Roy</t>
  </si>
  <si>
    <t>Kolkata</t>
  </si>
  <si>
    <t>C032</t>
  </si>
  <si>
    <t>Komal Sharma</t>
  </si>
  <si>
    <t>Top</t>
  </si>
  <si>
    <t>C033</t>
  </si>
  <si>
    <t>Ravi Thakur</t>
  </si>
  <si>
    <t>Oil</t>
  </si>
  <si>
    <t>C034</t>
  </si>
  <si>
    <t>Preeti Gupta</t>
  </si>
  <si>
    <t>Air Fryer</t>
  </si>
  <si>
    <t>C035</t>
  </si>
  <si>
    <t>Ajay Kumar</t>
  </si>
  <si>
    <t>Washing Machine</t>
  </si>
  <si>
    <t>C036</t>
  </si>
  <si>
    <t>Mansi Jain</t>
  </si>
  <si>
    <t>Watch</t>
  </si>
  <si>
    <t>C037</t>
  </si>
  <si>
    <t>Prakash Singh</t>
  </si>
  <si>
    <t>Dining Table</t>
  </si>
  <si>
    <t>C038</t>
  </si>
  <si>
    <t>Ritika Das</t>
  </si>
  <si>
    <t>Lipstick</t>
  </si>
  <si>
    <t>C039</t>
  </si>
  <si>
    <t>Manoj Yadav</t>
  </si>
  <si>
    <t>Camera</t>
  </si>
  <si>
    <t>C040</t>
  </si>
  <si>
    <t>Sakshi Mehta</t>
  </si>
  <si>
    <t>Tea</t>
  </si>
  <si>
    <t>C041</t>
  </si>
  <si>
    <t>Varsha Kapoor</t>
  </si>
  <si>
    <t>Earbuds</t>
  </si>
  <si>
    <t>C042</t>
  </si>
  <si>
    <t>Harish Patel</t>
  </si>
  <si>
    <t>C043</t>
  </si>
  <si>
    <t>Neelam Verma</t>
  </si>
  <si>
    <t>Kurti</t>
  </si>
  <si>
    <t>C044</t>
  </si>
  <si>
    <t>Rakesh Sharma</t>
  </si>
  <si>
    <t>C045</t>
  </si>
  <si>
    <t>Pallavi Singh</t>
  </si>
  <si>
    <t>Vacuum Cleaner</t>
  </si>
  <si>
    <t>C046</t>
  </si>
  <si>
    <t>Suraj Kumar</t>
  </si>
  <si>
    <t>Speaker</t>
  </si>
  <si>
    <t>C047</t>
  </si>
  <si>
    <t>Renu Gupta</t>
  </si>
  <si>
    <t>Sandal</t>
  </si>
  <si>
    <t>C048</t>
  </si>
  <si>
    <t>Gaurav Mehra</t>
  </si>
  <si>
    <t>C049</t>
  </si>
  <si>
    <t>Swati Joshi</t>
  </si>
  <si>
    <t>Shampoo</t>
  </si>
  <si>
    <t>C050</t>
  </si>
  <si>
    <t>Ankit Sharma</t>
  </si>
  <si>
    <t>Customer id</t>
  </si>
  <si>
    <t>Payment Mode</t>
  </si>
  <si>
    <t>Loan Amount</t>
  </si>
  <si>
    <t>Vlookup</t>
  </si>
  <si>
    <t>Index+Match</t>
  </si>
  <si>
    <t>find the age of Amit</t>
  </si>
  <si>
    <t>Amit*</t>
  </si>
  <si>
    <t>show the price of the employee whose name start with r</t>
  </si>
  <si>
    <t>?    --&gt; this symbol indicates Single char</t>
  </si>
  <si>
    <t>* --&gt; this symbol indicates n number of characters</t>
  </si>
  <si>
    <t>Upper Case</t>
  </si>
  <si>
    <t>Proper Case</t>
  </si>
  <si>
    <t>Lower Case</t>
  </si>
  <si>
    <t>Left</t>
  </si>
  <si>
    <t>Right</t>
  </si>
  <si>
    <t>Len</t>
  </si>
  <si>
    <t>Trim</t>
  </si>
  <si>
    <t>Length</t>
  </si>
  <si>
    <t>Concat Function</t>
  </si>
  <si>
    <t>Lname</t>
  </si>
  <si>
    <t>Using Concat Function</t>
  </si>
  <si>
    <t>Bose</t>
  </si>
  <si>
    <t>Pin Code</t>
  </si>
  <si>
    <t>Email</t>
  </si>
  <si>
    <r>
      <t xml:space="preserve">Password has to  be </t>
    </r>
    <r>
      <rPr>
        <sz val="11"/>
        <color rgb="FFFF0000"/>
        <rFont val="Aptos Narrow"/>
        <family val="2"/>
        <scheme val="minor"/>
      </rPr>
      <t>NAME UPPERCASE + 2 START CHAR OF CITY 3+ 3 LAST CHAR FROM PINCODE</t>
    </r>
  </si>
  <si>
    <t>Asha</t>
  </si>
  <si>
    <t>ASHA@GMAIL.com</t>
  </si>
  <si>
    <t>Mid</t>
  </si>
  <si>
    <t>Find</t>
  </si>
  <si>
    <t>email</t>
  </si>
  <si>
    <t>ABC@GMAIL.COM</t>
  </si>
  <si>
    <t>XYZ@YAHOON.COM</t>
  </si>
  <si>
    <t>FIND OUT THE POSITION OF @</t>
  </si>
  <si>
    <t>FIND OUT THE POSITION OF .</t>
  </si>
  <si>
    <t>FIND THE COMPANY NAME USING FIND AND MID</t>
  </si>
  <si>
    <t>Search</t>
  </si>
  <si>
    <t>round function</t>
  </si>
  <si>
    <t>Round</t>
  </si>
  <si>
    <t>Roundup</t>
  </si>
  <si>
    <t>Rounddown</t>
  </si>
  <si>
    <t>round</t>
  </si>
  <si>
    <t>roundup</t>
  </si>
  <si>
    <t>rounddown</t>
  </si>
  <si>
    <t>mod</t>
  </si>
  <si>
    <t>ABS</t>
  </si>
  <si>
    <t>AFTER DIVISION IT WILL SHOW ONLY REMAINDERS</t>
  </si>
  <si>
    <t>INT</t>
  </si>
  <si>
    <t>PRODUCT</t>
  </si>
  <si>
    <t>NOW</t>
  </si>
  <si>
    <t>TODAY</t>
  </si>
  <si>
    <t>MONTH</t>
  </si>
  <si>
    <t>DAY</t>
  </si>
  <si>
    <t>YEAR</t>
  </si>
  <si>
    <t>CALCULATE AGE</t>
  </si>
  <si>
    <t>Order_ID</t>
  </si>
  <si>
    <t>Date</t>
  </si>
  <si>
    <t>Region</t>
  </si>
  <si>
    <t>Salesperson</t>
  </si>
  <si>
    <t>North</t>
  </si>
  <si>
    <t>South</t>
  </si>
  <si>
    <t>East</t>
  </si>
  <si>
    <t>West</t>
  </si>
  <si>
    <t>Stationery</t>
  </si>
  <si>
    <t>Notebook</t>
  </si>
  <si>
    <t>Show the product of 1006</t>
  </si>
  <si>
    <t>Show the date of Amit first Purchase</t>
  </si>
  <si>
    <t>Show Laptop First Sale Price</t>
  </si>
  <si>
    <t>Match+Index</t>
  </si>
  <si>
    <t>PIVOT TABLE</t>
  </si>
  <si>
    <t>Row Labels</t>
  </si>
  <si>
    <t>Grand Total</t>
  </si>
  <si>
    <t>Sum of Sales</t>
  </si>
  <si>
    <t>Column Labels</t>
  </si>
  <si>
    <t>Count of Sales</t>
  </si>
  <si>
    <t>Max of Sales</t>
  </si>
  <si>
    <t>show month wise total sales each region</t>
  </si>
  <si>
    <t>Jan</t>
  </si>
  <si>
    <t>Feb</t>
  </si>
  <si>
    <t>(All)</t>
  </si>
  <si>
    <t>count how many Loan approved or not in each city</t>
  </si>
  <si>
    <t>Count of Loan_Status</t>
  </si>
  <si>
    <t>show total loan amount of each payment mode</t>
  </si>
  <si>
    <t>Sum of Loan_Amount</t>
  </si>
  <si>
    <t>Beauty Total</t>
  </si>
  <si>
    <t>Electronics Total</t>
  </si>
  <si>
    <t>Fashion Total</t>
  </si>
  <si>
    <t>Furniture Total</t>
  </si>
  <si>
    <t>Grocery Total</t>
  </si>
  <si>
    <t>Home &amp; Kitchen Total</t>
  </si>
  <si>
    <t>Subtotal</t>
  </si>
  <si>
    <t>Count of Gender</t>
  </si>
  <si>
    <t>Sum of Quantity</t>
  </si>
  <si>
    <t>Sum of Price</t>
  </si>
  <si>
    <t>Show 4 top selling products by there price</t>
  </si>
  <si>
    <t>PIE Chart</t>
  </si>
  <si>
    <t>ITEMS</t>
  </si>
  <si>
    <t>SALARY</t>
  </si>
  <si>
    <t>FOOD</t>
  </si>
  <si>
    <t>MEDICINE</t>
  </si>
  <si>
    <t>RENT</t>
  </si>
  <si>
    <t>GROCERIES</t>
  </si>
  <si>
    <t>TRAVEL</t>
  </si>
  <si>
    <t>Sum of SALARY</t>
  </si>
  <si>
    <t>CREATE PIE CHART FOR PAYMENT MODE</t>
  </si>
  <si>
    <t>DISTRIBUTION BASE ON LOAN AMOUNT</t>
  </si>
  <si>
    <t>Creating age group cause there are so many ages</t>
  </si>
  <si>
    <t>AGE GROUP</t>
  </si>
  <si>
    <t>ADULT</t>
  </si>
  <si>
    <t>SENIOUR</t>
  </si>
  <si>
    <t>Month</t>
  </si>
  <si>
    <t>Year</t>
  </si>
  <si>
    <t>Employee</t>
  </si>
  <si>
    <t>Profit</t>
  </si>
  <si>
    <t>Accessories</t>
  </si>
  <si>
    <t>Mar</t>
  </si>
  <si>
    <t>Apr</t>
  </si>
  <si>
    <t>May</t>
  </si>
  <si>
    <t>Jun</t>
  </si>
  <si>
    <t>Jul</t>
  </si>
  <si>
    <t>Aug</t>
  </si>
  <si>
    <t>Sep</t>
  </si>
  <si>
    <t>Oct</t>
  </si>
  <si>
    <t>Nov</t>
  </si>
  <si>
    <t>Dec</t>
  </si>
  <si>
    <t>Sum of Profit</t>
  </si>
  <si>
    <t>Scatter chart</t>
  </si>
  <si>
    <t>Adv Amount</t>
  </si>
  <si>
    <t>Sale Amount</t>
  </si>
  <si>
    <t>Positive Corelation</t>
  </si>
  <si>
    <t>Negative Corelation</t>
  </si>
  <si>
    <t>Slicer</t>
  </si>
  <si>
    <t>KPI</t>
  </si>
  <si>
    <t>Static Value</t>
  </si>
  <si>
    <t>Dynamic value just put = before the formula</t>
  </si>
  <si>
    <t>Platform</t>
  </si>
  <si>
    <t>Selling_Price</t>
  </si>
  <si>
    <t>Cost_Price</t>
  </si>
  <si>
    <t>Discount</t>
  </si>
  <si>
    <t>Order_Status</t>
  </si>
  <si>
    <t>Return</t>
  </si>
  <si>
    <t>O1006</t>
  </si>
  <si>
    <t>Instagram</t>
  </si>
  <si>
    <t>Mobile Cover</t>
  </si>
  <si>
    <t>Delivered</t>
  </si>
  <si>
    <t>No</t>
  </si>
  <si>
    <t>O1007</t>
  </si>
  <si>
    <t>Amazon</t>
  </si>
  <si>
    <t>Running Shoes</t>
  </si>
  <si>
    <t>Footwear</t>
  </si>
  <si>
    <t>O1008</t>
  </si>
  <si>
    <t>Flipkart</t>
  </si>
  <si>
    <t>Smart Watch</t>
  </si>
  <si>
    <t>O1009</t>
  </si>
  <si>
    <t>WhatsApp</t>
  </si>
  <si>
    <t>Clothing</t>
  </si>
  <si>
    <t>O1010</t>
  </si>
  <si>
    <t>Meesho</t>
  </si>
  <si>
    <t>Cushion Cover</t>
  </si>
  <si>
    <t>Home Decor</t>
  </si>
  <si>
    <t>O1011</t>
  </si>
  <si>
    <t>O1012</t>
  </si>
  <si>
    <t>Myntra</t>
  </si>
  <si>
    <t>Returned</t>
  </si>
  <si>
    <t>Yes</t>
  </si>
  <si>
    <t>O1013</t>
  </si>
  <si>
    <t>Bluetooth Speaker</t>
  </si>
  <si>
    <t>O1014</t>
  </si>
  <si>
    <t>Backpack</t>
  </si>
  <si>
    <t>O1015</t>
  </si>
  <si>
    <t>Own Website</t>
  </si>
  <si>
    <t>O1016</t>
  </si>
  <si>
    <t>Wall Clock</t>
  </si>
  <si>
    <t>O1017</t>
  </si>
  <si>
    <t>T-Shirt</t>
  </si>
  <si>
    <t>O1018</t>
  </si>
  <si>
    <t>Laptop Bag</t>
  </si>
  <si>
    <t>O1019</t>
  </si>
  <si>
    <t>Bedsheet</t>
  </si>
  <si>
    <t>O1020</t>
  </si>
  <si>
    <t>O1021</t>
  </si>
  <si>
    <t>Sunglasses</t>
  </si>
  <si>
    <t>O1022</t>
  </si>
  <si>
    <t>Shirt</t>
  </si>
  <si>
    <t>O1023</t>
  </si>
  <si>
    <t>Table Lamp</t>
  </si>
  <si>
    <t>O1024</t>
  </si>
  <si>
    <t>Power Bank</t>
  </si>
  <si>
    <t>O1025</t>
  </si>
  <si>
    <t>Earrings</t>
  </si>
  <si>
    <t>City Wise sales to analise</t>
  </si>
  <si>
    <t>Sum of Selling_Price</t>
  </si>
  <si>
    <t>based on sales show delivered or returned</t>
  </si>
  <si>
    <t>Count of Order_Status</t>
  </si>
  <si>
    <t>09-Jan</t>
  </si>
  <si>
    <t>10-Jan</t>
  </si>
  <si>
    <t>11-Jan</t>
  </si>
  <si>
    <t>12-Jan</t>
  </si>
  <si>
    <t>14-Jan</t>
  </si>
  <si>
    <t>17-Jan</t>
  </si>
  <si>
    <t>08-Feb</t>
  </si>
  <si>
    <t>10-Mar</t>
  </si>
  <si>
    <t>11-Apr</t>
  </si>
  <si>
    <t>12-May</t>
  </si>
  <si>
    <t>15-Jul</t>
  </si>
  <si>
    <t>16-Nov</t>
  </si>
  <si>
    <t>17-Dec</t>
  </si>
  <si>
    <t>Month wise Profit</t>
  </si>
  <si>
    <t>Day Wise Sales</t>
  </si>
  <si>
    <t>Relationship Between Discount and Profit</t>
  </si>
  <si>
    <t>City Wise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</si>
</sst>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5" formatCode="0.0000"/>
    <numFmt numFmtId="166" formatCode="[$-F400]h:mm:ss\ AM/PM"/>
    <numFmt numFmtId="167" formatCode="0.0,&quot;K&quot;"/>
    <numFmt numFmtId="168" formatCode="0.00,&quot;K&quot;"/>
  </numFmts>
  <fonts count="21" x14ac:knownFonts="1">
    <font>
      <sz val="11"/>
      <color theme="1"/>
      <name val="Aptos Narrow"/>
      <family val="2"/>
      <scheme val="minor"/>
    </font>
    <font>
      <b/>
      <sz val="16"/>
      <color theme="7" tint="-0.249977111117893"/>
      <name val="Aptos Narrow"/>
      <family val="2"/>
      <scheme val="minor"/>
    </font>
    <font>
      <b/>
      <sz val="16"/>
      <color theme="1"/>
      <name val="Aptos Narrow"/>
      <family val="2"/>
      <scheme val="minor"/>
    </font>
    <font>
      <b/>
      <sz val="18"/>
      <color theme="3" tint="9.9978637043366805E-2"/>
      <name val="Aptos Narrow"/>
      <family val="2"/>
      <scheme val="minor"/>
    </font>
    <font>
      <sz val="11"/>
      <color rgb="FFFF0000"/>
      <name val="Aptos Narrow"/>
      <family val="2"/>
      <scheme val="minor"/>
    </font>
    <font>
      <sz val="11"/>
      <color theme="1"/>
      <name val="Segoe UI"/>
      <family val="2"/>
    </font>
    <font>
      <sz val="11"/>
      <color theme="1"/>
      <name val="Aptos Narrow"/>
      <family val="2"/>
    </font>
    <font>
      <b/>
      <sz val="10"/>
      <color theme="1"/>
      <name val="Arial"/>
      <family val="2"/>
    </font>
    <font>
      <sz val="10"/>
      <color theme="1"/>
      <name val="Arial"/>
      <family val="2"/>
    </font>
    <font>
      <sz val="11"/>
      <color rgb="FFA02B93"/>
      <name val="Aptos Narrow"/>
      <family val="2"/>
    </font>
    <font>
      <b/>
      <sz val="11"/>
      <color rgb="FFFF0000"/>
      <name val="Aptos Narrow"/>
      <family val="2"/>
      <scheme val="minor"/>
    </font>
    <font>
      <b/>
      <sz val="11"/>
      <color theme="1"/>
      <name val="Calibri"/>
      <family val="2"/>
    </font>
    <font>
      <sz val="11"/>
      <color theme="1"/>
      <name val="Calibri"/>
      <family val="2"/>
    </font>
    <font>
      <sz val="10"/>
      <color rgb="FFFF0000"/>
      <name val="Arial"/>
      <family val="2"/>
    </font>
    <font>
      <sz val="11"/>
      <name val="Aptos Narrow"/>
      <family val="2"/>
      <scheme val="minor"/>
    </font>
    <font>
      <u/>
      <sz val="11"/>
      <color theme="10"/>
      <name val="Aptos Narrow"/>
      <family val="2"/>
      <scheme val="minor"/>
    </font>
    <font>
      <b/>
      <sz val="12"/>
      <color rgb="FFFF0000"/>
      <name val="Aptos Narrow"/>
      <family val="2"/>
      <scheme val="minor"/>
    </font>
    <font>
      <b/>
      <sz val="14"/>
      <color rgb="FFFF0000"/>
      <name val="Aptos Narrow"/>
      <family val="2"/>
      <scheme val="minor"/>
    </font>
    <font>
      <b/>
      <sz val="16"/>
      <color rgb="FFFF0000"/>
      <name val="Aptos Narrow"/>
      <family val="2"/>
      <scheme val="minor"/>
    </font>
    <font>
      <b/>
      <sz val="11"/>
      <color theme="1"/>
      <name val="Aptos Narrow"/>
      <family val="2"/>
    </font>
    <font>
      <b/>
      <sz val="18"/>
      <color rgb="FFFF0000"/>
      <name val="Aptos Narrow"/>
      <family val="2"/>
      <scheme val="minor"/>
    </font>
  </fonts>
  <fills count="6">
    <fill>
      <patternFill patternType="none"/>
    </fill>
    <fill>
      <patternFill patternType="gray125"/>
    </fill>
    <fill>
      <patternFill patternType="solid">
        <fgColor theme="3" tint="0.499984740745262"/>
        <bgColor indexed="64"/>
      </patternFill>
    </fill>
    <fill>
      <patternFill patternType="solid">
        <fgColor theme="4" tint="0.79998168889431442"/>
        <bgColor indexed="64"/>
      </patternFill>
    </fill>
    <fill>
      <patternFill patternType="solid">
        <fgColor rgb="FFF2CEEF"/>
        <bgColor indexed="64"/>
      </patternFill>
    </fill>
    <fill>
      <patternFill patternType="solid">
        <fgColor rgb="FFFFFF00"/>
        <bgColor indexed="64"/>
      </patternFill>
    </fill>
  </fills>
  <borders count="2">
    <border>
      <left/>
      <right/>
      <top/>
      <bottom/>
      <diagonal/>
    </border>
    <border>
      <left style="thick">
        <color indexed="64"/>
      </left>
      <right/>
      <top/>
      <bottom/>
      <diagonal/>
    </border>
  </borders>
  <cellStyleXfs count="2">
    <xf numFmtId="0" fontId="0" fillId="0" borderId="0"/>
    <xf numFmtId="0" fontId="15" fillId="0" borderId="0" applyNumberFormat="0" applyFill="0" applyBorder="0" applyAlignment="0" applyProtection="0"/>
  </cellStyleXfs>
  <cellXfs count="70">
    <xf numFmtId="0" fontId="0" fillId="0" borderId="0" xfId="0"/>
    <xf numFmtId="0" fontId="2" fillId="0" borderId="0" xfId="0" applyFont="1" applyAlignment="1">
      <alignment horizontal="center"/>
    </xf>
    <xf numFmtId="9" fontId="0" fillId="0" borderId="0" xfId="0" applyNumberFormat="1"/>
    <xf numFmtId="0" fontId="5" fillId="0" borderId="0" xfId="0" applyFont="1"/>
    <xf numFmtId="0" fontId="6" fillId="0" borderId="0" xfId="0" applyFont="1"/>
    <xf numFmtId="0" fontId="6" fillId="0" borderId="0" xfId="0" applyFont="1" applyAlignment="1">
      <alignment horizontal="right"/>
    </xf>
    <xf numFmtId="0" fontId="8" fillId="0" borderId="0" xfId="0" applyFont="1" applyAlignment="1">
      <alignment horizontal="right" wrapText="1"/>
    </xf>
    <xf numFmtId="0" fontId="8" fillId="0" borderId="0" xfId="0" applyFont="1" applyAlignment="1">
      <alignment wrapText="1"/>
    </xf>
    <xf numFmtId="0" fontId="7" fillId="0" borderId="0" xfId="0" applyFont="1" applyAlignment="1">
      <alignment horizontal="right"/>
    </xf>
    <xf numFmtId="0" fontId="7" fillId="0" borderId="0" xfId="0" applyFont="1" applyAlignment="1">
      <alignment horizontal="center"/>
    </xf>
    <xf numFmtId="0" fontId="8" fillId="0" borderId="0" xfId="0" applyFont="1" applyAlignment="1">
      <alignment horizontal="right"/>
    </xf>
    <xf numFmtId="0" fontId="8" fillId="0" borderId="0" xfId="0" applyFont="1"/>
    <xf numFmtId="14" fontId="8" fillId="0" borderId="0" xfId="0" applyNumberFormat="1" applyFont="1" applyAlignment="1">
      <alignment horizontal="right"/>
    </xf>
    <xf numFmtId="0" fontId="9" fillId="4" borderId="0" xfId="0" applyFont="1" applyFill="1" applyAlignment="1">
      <alignment wrapText="1"/>
    </xf>
    <xf numFmtId="0" fontId="8" fillId="4" borderId="0" xfId="0" applyFont="1" applyFill="1" applyAlignment="1">
      <alignment wrapText="1"/>
    </xf>
    <xf numFmtId="0" fontId="9" fillId="4" borderId="0" xfId="0" applyFont="1" applyFill="1" applyAlignment="1">
      <alignment vertical="center"/>
    </xf>
    <xf numFmtId="0" fontId="8" fillId="0" borderId="0" xfId="0" applyFont="1" applyAlignment="1">
      <alignment vertical="center"/>
    </xf>
    <xf numFmtId="0" fontId="4" fillId="0" borderId="0" xfId="0" applyFont="1"/>
    <xf numFmtId="0" fontId="10" fillId="0" borderId="0" xfId="0" applyFont="1"/>
    <xf numFmtId="0" fontId="11" fillId="0" borderId="0" xfId="0" applyFont="1" applyAlignment="1">
      <alignment wrapText="1"/>
    </xf>
    <xf numFmtId="0" fontId="12" fillId="0" borderId="0" xfId="0" applyFont="1" applyAlignment="1">
      <alignment wrapText="1"/>
    </xf>
    <xf numFmtId="0" fontId="12" fillId="0" borderId="0" xfId="0" applyFont="1" applyAlignment="1">
      <alignment horizontal="right" wrapText="1"/>
    </xf>
    <xf numFmtId="0" fontId="8" fillId="5" borderId="0" xfId="0" applyFont="1" applyFill="1" applyAlignment="1">
      <alignment wrapText="1"/>
    </xf>
    <xf numFmtId="0" fontId="0" fillId="0" borderId="0" xfId="0" applyAlignment="1">
      <alignment wrapText="1"/>
    </xf>
    <xf numFmtId="0" fontId="11" fillId="0" borderId="0" xfId="0" applyFont="1"/>
    <xf numFmtId="0" fontId="11" fillId="0" borderId="0" xfId="0" applyFont="1" applyAlignment="1">
      <alignment horizontal="right"/>
    </xf>
    <xf numFmtId="0" fontId="12" fillId="0" borderId="0" xfId="0" applyFont="1"/>
    <xf numFmtId="0" fontId="12" fillId="0" borderId="0" xfId="0" applyFont="1" applyAlignment="1">
      <alignment horizontal="right"/>
    </xf>
    <xf numFmtId="14" fontId="12" fillId="0" borderId="0" xfId="0" applyNumberFormat="1" applyFont="1" applyAlignment="1">
      <alignment horizontal="right"/>
    </xf>
    <xf numFmtId="14" fontId="0" fillId="0" borderId="0" xfId="0" applyNumberFormat="1"/>
    <xf numFmtId="0" fontId="13" fillId="0" borderId="0" xfId="0" applyFont="1"/>
    <xf numFmtId="0" fontId="14" fillId="0" borderId="0" xfId="0" applyFont="1"/>
    <xf numFmtId="0" fontId="15" fillId="0" borderId="0" xfId="1"/>
    <xf numFmtId="0" fontId="15" fillId="0" borderId="0" xfId="1" applyAlignment="1">
      <alignment wrapText="1"/>
    </xf>
    <xf numFmtId="0" fontId="0" fillId="0" borderId="0" xfId="0" applyAlignment="1">
      <alignment horizontal="center" wrapText="1"/>
    </xf>
    <xf numFmtId="164" fontId="8" fillId="0" borderId="0" xfId="0" applyNumberFormat="1" applyFont="1" applyAlignment="1">
      <alignment horizontal="right"/>
    </xf>
    <xf numFmtId="2" fontId="0" fillId="0" borderId="0" xfId="0" applyNumberFormat="1"/>
    <xf numFmtId="165" fontId="8" fillId="0" borderId="0" xfId="0" applyNumberFormat="1" applyFont="1" applyAlignment="1">
      <alignment horizontal="right"/>
    </xf>
    <xf numFmtId="165" fontId="0" fillId="0" borderId="0" xfId="0" applyNumberFormat="1"/>
    <xf numFmtId="164" fontId="4" fillId="0" borderId="0" xfId="0" applyNumberFormat="1" applyFont="1"/>
    <xf numFmtId="0" fontId="14" fillId="0" borderId="0" xfId="0" applyFont="1" applyAlignment="1">
      <alignment vertical="top" wrapText="1"/>
    </xf>
    <xf numFmtId="1" fontId="4" fillId="0" borderId="0" xfId="0" applyNumberFormat="1" applyFont="1"/>
    <xf numFmtId="14" fontId="4" fillId="0" borderId="0" xfId="0" applyNumberFormat="1" applyFont="1"/>
    <xf numFmtId="166" fontId="4" fillId="0" borderId="0" xfId="0" applyNumberFormat="1" applyFont="1"/>
    <xf numFmtId="15" fontId="14" fillId="0" borderId="0" xfId="0" applyNumberFormat="1" applyFont="1"/>
    <xf numFmtId="1" fontId="14" fillId="0" borderId="0" xfId="0" applyNumberFormat="1" applyFont="1"/>
    <xf numFmtId="15" fontId="8" fillId="0" borderId="0" xfId="0" applyNumberFormat="1" applyFont="1" applyAlignment="1">
      <alignment horizontal="right"/>
    </xf>
    <xf numFmtId="0" fontId="0" fillId="0" borderId="0" xfId="0" pivotButton="1"/>
    <xf numFmtId="0" fontId="0" fillId="0" borderId="0" xfId="0" applyAlignment="1">
      <alignment horizontal="left"/>
    </xf>
    <xf numFmtId="0" fontId="7" fillId="0" borderId="0" xfId="0" applyFont="1"/>
    <xf numFmtId="0" fontId="17" fillId="0" borderId="0" xfId="0" applyFont="1"/>
    <xf numFmtId="0" fontId="16" fillId="0" borderId="0" xfId="0" applyFont="1"/>
    <xf numFmtId="0" fontId="8" fillId="0" borderId="1" xfId="0" applyFont="1" applyBorder="1"/>
    <xf numFmtId="0" fontId="0" fillId="0" borderId="1" xfId="0" applyBorder="1"/>
    <xf numFmtId="0" fontId="19" fillId="0" borderId="0" xfId="0" applyFont="1" applyAlignment="1">
      <alignment horizontal="right" wrapText="1"/>
    </xf>
    <xf numFmtId="0" fontId="6" fillId="0" borderId="0" xfId="0" applyFont="1" applyAlignment="1">
      <alignment horizontal="right" wrapText="1"/>
    </xf>
    <xf numFmtId="0" fontId="20" fillId="0" borderId="0" xfId="0" applyFont="1"/>
    <xf numFmtId="9" fontId="8" fillId="0" borderId="0" xfId="0" applyNumberFormat="1" applyFont="1" applyAlignment="1">
      <alignment horizontal="right"/>
    </xf>
    <xf numFmtId="167" fontId="8" fillId="0" borderId="0" xfId="0" applyNumberFormat="1" applyFont="1" applyAlignment="1">
      <alignment horizontal="right"/>
    </xf>
    <xf numFmtId="168" fontId="8" fillId="0" borderId="0" xfId="0" applyNumberFormat="1" applyFont="1" applyAlignment="1">
      <alignment horizontal="right"/>
    </xf>
    <xf numFmtId="15" fontId="6" fillId="0" borderId="0" xfId="0" applyNumberFormat="1" applyFont="1" applyAlignment="1">
      <alignment horizontal="right" wrapText="1"/>
    </xf>
    <xf numFmtId="168" fontId="0" fillId="0" borderId="0" xfId="0" applyNumberFormat="1"/>
    <xf numFmtId="167" fontId="0" fillId="0" borderId="0" xfId="0" applyNumberFormat="1"/>
    <xf numFmtId="0" fontId="1" fillId="0" borderId="0" xfId="0" applyFont="1" applyAlignment="1">
      <alignment horizontal="center"/>
    </xf>
    <xf numFmtId="0" fontId="2" fillId="2" borderId="0" xfId="0" applyFont="1" applyFill="1" applyAlignment="1">
      <alignment horizontal="center"/>
    </xf>
    <xf numFmtId="0" fontId="3" fillId="3" borderId="0" xfId="0" applyFont="1" applyFill="1" applyAlignment="1">
      <alignment horizontal="center"/>
    </xf>
    <xf numFmtId="0" fontId="0" fillId="3" borderId="0" xfId="0" applyFill="1" applyAlignment="1">
      <alignment horizontal="center"/>
    </xf>
    <xf numFmtId="0" fontId="14" fillId="0" borderId="0" xfId="0" applyFont="1" applyAlignment="1">
      <alignment horizontal="center" vertical="top" wrapText="1"/>
    </xf>
    <xf numFmtId="0" fontId="18" fillId="0" borderId="0" xfId="0" applyFont="1" applyAlignment="1">
      <alignment horizontal="center" vertical="center"/>
    </xf>
    <xf numFmtId="0" fontId="0" fillId="0" borderId="0" xfId="0" applyAlignment="1">
      <alignment horizont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6.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3.xml"/><Relationship Id="rId28"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2.xml"/><Relationship Id="rId27" Type="http://schemas.microsoft.com/office/2007/relationships/slicerCache" Target="slicerCaches/slicerCache1.xml"/><Relationship Id="rId30"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PRACTICE 1.xlsx]12.09.2026 Part1!PivotTable12</c:name>
    <c:fmtId val="1"/>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'12.09.2026 Part1'!$E$31</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AF3F-480B-B4DB-3808BEC1B2ED}"/>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AF3F-480B-B4DB-3808BEC1B2ED}"/>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AF3F-480B-B4DB-3808BEC1B2ED}"/>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AF3F-480B-B4DB-3808BEC1B2ED}"/>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AF3F-480B-B4DB-3808BEC1B2ED}"/>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2-AF3F-480B-B4DB-3808BEC1B2ED}"/>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3-AF3F-480B-B4DB-3808BEC1B2ED}"/>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4-AF3F-480B-B4DB-3808BEC1B2ED}"/>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5-AF3F-480B-B4DB-3808BEC1B2ED}"/>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6-AF3F-480B-B4DB-3808BEC1B2ED}"/>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'12.09.2026 Part1'!$D$32:$D$37</c:f>
              <c:strCache>
                <c:ptCount val="5"/>
                <c:pt idx="0">
                  <c:v>FOOD</c:v>
                </c:pt>
                <c:pt idx="1">
                  <c:v>GROCERIES</c:v>
                </c:pt>
                <c:pt idx="2">
                  <c:v>MEDICINE</c:v>
                </c:pt>
                <c:pt idx="3">
                  <c:v>RENT</c:v>
                </c:pt>
                <c:pt idx="4">
                  <c:v>TRAVEL</c:v>
                </c:pt>
              </c:strCache>
            </c:strRef>
          </c:cat>
          <c:val>
            <c:numRef>
              <c:f>'12.09.2026 Part1'!$E$32:$E$37</c:f>
              <c:numCache>
                <c:formatCode>General</c:formatCode>
                <c:ptCount val="5"/>
                <c:pt idx="0">
                  <c:v>20</c:v>
                </c:pt>
                <c:pt idx="1">
                  <c:v>30</c:v>
                </c:pt>
                <c:pt idx="2">
                  <c:v>20</c:v>
                </c:pt>
                <c:pt idx="3">
                  <c:v>10</c:v>
                </c:pt>
                <c:pt idx="4">
                  <c:v>20</c:v>
                </c:pt>
              </c:numCache>
            </c:numRef>
          </c:val>
          <c:extLst>
            <c:ext xmlns:c16="http://schemas.microsoft.com/office/drawing/2014/chart" uri="{C3380CC4-5D6E-409C-BE32-E72D297353CC}">
              <c16:uniqueId val="{00000000-AF3F-480B-B4DB-3808BEC1B2ED}"/>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PRACTICE 1.xlsx]12.09.2026 Part2!PivotTable8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'12.09.2026 Part2'!$B$131:$B$132</c:f>
              <c:strCache>
                <c:ptCount val="1"/>
                <c:pt idx="0">
                  <c:v>Female</c:v>
                </c:pt>
              </c:strCache>
            </c:strRef>
          </c:tx>
          <c:spPr>
            <a:solidFill>
              <a:schemeClr val="accent1"/>
            </a:solidFill>
            <a:ln>
              <a:noFill/>
            </a:ln>
            <a:effectLst/>
          </c:spPr>
          <c:invertIfNegative val="0"/>
          <c:cat>
            <c:strRef>
              <c:f>'12.09.2026 Part2'!$A$133</c:f>
              <c:strCache>
                <c:ptCount val="1"/>
                <c:pt idx="0">
                  <c:v>Total</c:v>
                </c:pt>
              </c:strCache>
            </c:strRef>
          </c:cat>
          <c:val>
            <c:numRef>
              <c:f>'12.09.2026 Part2'!$B$133</c:f>
              <c:numCache>
                <c:formatCode>General</c:formatCode>
                <c:ptCount val="1"/>
                <c:pt idx="0">
                  <c:v>25</c:v>
                </c:pt>
              </c:numCache>
            </c:numRef>
          </c:val>
          <c:extLst>
            <c:ext xmlns:c16="http://schemas.microsoft.com/office/drawing/2014/chart" uri="{C3380CC4-5D6E-409C-BE32-E72D297353CC}">
              <c16:uniqueId val="{00000000-2D88-48B3-9AAA-B4057A1B9D1A}"/>
            </c:ext>
          </c:extLst>
        </c:ser>
        <c:ser>
          <c:idx val="1"/>
          <c:order val="1"/>
          <c:tx>
            <c:strRef>
              <c:f>'12.09.2026 Part2'!$C$131:$C$132</c:f>
              <c:strCache>
                <c:ptCount val="1"/>
                <c:pt idx="0">
                  <c:v>Male</c:v>
                </c:pt>
              </c:strCache>
            </c:strRef>
          </c:tx>
          <c:spPr>
            <a:solidFill>
              <a:schemeClr val="accent2"/>
            </a:solidFill>
            <a:ln>
              <a:noFill/>
            </a:ln>
            <a:effectLst/>
          </c:spPr>
          <c:invertIfNegative val="0"/>
          <c:cat>
            <c:strRef>
              <c:f>'12.09.2026 Part2'!$A$133</c:f>
              <c:strCache>
                <c:ptCount val="1"/>
                <c:pt idx="0">
                  <c:v>Total</c:v>
                </c:pt>
              </c:strCache>
            </c:strRef>
          </c:cat>
          <c:val>
            <c:numRef>
              <c:f>'12.09.2026 Part2'!$C$133</c:f>
              <c:numCache>
                <c:formatCode>General</c:formatCode>
                <c:ptCount val="1"/>
                <c:pt idx="0">
                  <c:v>25</c:v>
                </c:pt>
              </c:numCache>
            </c:numRef>
          </c:val>
          <c:extLst>
            <c:ext xmlns:c16="http://schemas.microsoft.com/office/drawing/2014/chart" uri="{C3380CC4-5D6E-409C-BE32-E72D297353CC}">
              <c16:uniqueId val="{00000001-2D88-48B3-9AAA-B4057A1B9D1A}"/>
            </c:ext>
          </c:extLst>
        </c:ser>
        <c:dLbls>
          <c:showLegendKey val="0"/>
          <c:showVal val="0"/>
          <c:showCatName val="0"/>
          <c:showSerName val="0"/>
          <c:showPercent val="0"/>
          <c:showBubbleSize val="0"/>
        </c:dLbls>
        <c:gapWidth val="219"/>
        <c:overlap val="-27"/>
        <c:axId val="625590911"/>
        <c:axId val="350353167"/>
      </c:barChart>
      <c:catAx>
        <c:axId val="625590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353167"/>
        <c:crosses val="autoZero"/>
        <c:auto val="1"/>
        <c:lblAlgn val="ctr"/>
        <c:lblOffset val="100"/>
        <c:noMultiLvlLbl val="0"/>
      </c:catAx>
      <c:valAx>
        <c:axId val="350353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590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PRACTICE 1.xlsx]12.09.2026 Part2!PivotTable9</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'12.09.2026 Part2'!$B$145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'12.09.2026 Part2'!$A$146:$A$160</c:f>
              <c:strCache>
                <c:ptCount val="14"/>
                <c:pt idx="0">
                  <c:v>Ahmedabad</c:v>
                </c:pt>
                <c:pt idx="1">
                  <c:v>Bangalore</c:v>
                </c:pt>
                <c:pt idx="2">
                  <c:v>Chandigarh</c:v>
                </c:pt>
                <c:pt idx="3">
                  <c:v>Chennai</c:v>
                </c:pt>
                <c:pt idx="4">
                  <c:v>Delhi</c:v>
                </c:pt>
                <c:pt idx="5">
                  <c:v>Gurgaon</c:v>
                </c:pt>
                <c:pt idx="6">
                  <c:v>Hyderabad</c:v>
                </c:pt>
                <c:pt idx="7">
                  <c:v>Jaipur</c:v>
                </c:pt>
                <c:pt idx="8">
                  <c:v>Kochi</c:v>
                </c:pt>
                <c:pt idx="9">
                  <c:v>Kolkata</c:v>
                </c:pt>
                <c:pt idx="10">
                  <c:v>Lucknow</c:v>
                </c:pt>
                <c:pt idx="11">
                  <c:v>Mumbai</c:v>
                </c:pt>
                <c:pt idx="12">
                  <c:v>Noida</c:v>
                </c:pt>
                <c:pt idx="13">
                  <c:v>Pune</c:v>
                </c:pt>
              </c:strCache>
            </c:strRef>
          </c:cat>
          <c:val>
            <c:numRef>
              <c:f>'12.09.2026 Part2'!$B$146:$B$160</c:f>
              <c:numCache>
                <c:formatCode>General</c:formatCode>
                <c:ptCount val="14"/>
                <c:pt idx="0">
                  <c:v>915000</c:v>
                </c:pt>
                <c:pt idx="1">
                  <c:v>645000</c:v>
                </c:pt>
                <c:pt idx="2">
                  <c:v>535000</c:v>
                </c:pt>
                <c:pt idx="3">
                  <c:v>175000</c:v>
                </c:pt>
                <c:pt idx="4">
                  <c:v>4740000</c:v>
                </c:pt>
                <c:pt idx="5">
                  <c:v>1665000</c:v>
                </c:pt>
                <c:pt idx="6">
                  <c:v>130000</c:v>
                </c:pt>
                <c:pt idx="7">
                  <c:v>1530000</c:v>
                </c:pt>
                <c:pt idx="8">
                  <c:v>190000</c:v>
                </c:pt>
                <c:pt idx="9">
                  <c:v>320000</c:v>
                </c:pt>
                <c:pt idx="10">
                  <c:v>1075000</c:v>
                </c:pt>
                <c:pt idx="11">
                  <c:v>355000</c:v>
                </c:pt>
                <c:pt idx="12">
                  <c:v>1070000</c:v>
                </c:pt>
                <c:pt idx="13">
                  <c:v>665000</c:v>
                </c:pt>
              </c:numCache>
            </c:numRef>
          </c:val>
          <c:extLst>
            <c:ext xmlns:c16="http://schemas.microsoft.com/office/drawing/2014/chart" uri="{C3380CC4-5D6E-409C-BE32-E72D297353CC}">
              <c16:uniqueId val="{00000000-2AE4-4370-8AE7-37AC30A0069E}"/>
            </c:ext>
          </c:extLst>
        </c:ser>
        <c:dLbls>
          <c:dLblPos val="outEnd"/>
          <c:showLegendKey val="0"/>
          <c:showVal val="1"/>
          <c:showCatName val="0"/>
          <c:showSerName val="0"/>
          <c:showPercent val="0"/>
          <c:showBubbleSize val="0"/>
        </c:dLbls>
        <c:gapWidth val="100"/>
        <c:overlap val="-24"/>
        <c:axId val="625600655"/>
        <c:axId val="350337807"/>
      </c:barChart>
      <c:catAx>
        <c:axId val="62560065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0337807"/>
        <c:crosses val="autoZero"/>
        <c:auto val="1"/>
        <c:lblAlgn val="ctr"/>
        <c:lblOffset val="100"/>
        <c:noMultiLvlLbl val="0"/>
      </c:catAx>
      <c:valAx>
        <c:axId val="35033780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5600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[EXCEL PRACTICE 1.xlsx]12.09.2026 Part2!PivotTable9</c:name>
    <c:fmtId val="7"/>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dk1">
                <a:tint val="88500"/>
              </a:schemeClr>
            </a:fgClr>
            <a:bgClr>
              <a:schemeClr val="lt1"/>
            </a:bgClr>
          </a:pattFill>
          <a:ln>
            <a:noFill/>
          </a:ln>
          <a:effectLst/>
        </c:spPr>
        <c:marker>
          <c:symbol val="none"/>
        </c:marker>
        <c:dLbl>
          <c:idx val="0"/>
          <c:spPr>
            <a:solidFill>
              <a:sysClr val="windowText" lastClr="000000">
                <a:tint val="88500"/>
                <a:alpha val="70000"/>
              </a:sys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'12.09.2026 Part2'!$B$145</c:f>
              <c:strCache>
                <c:ptCount val="1"/>
                <c:pt idx="0">
                  <c:v>Total</c:v>
                </c:pt>
              </c:strCache>
            </c:strRef>
          </c:tx>
          <c:spPr>
            <a:pattFill prst="ltUpDiag">
              <a:fgClr>
                <a:schemeClr val="dk1">
                  <a:tint val="88500"/>
                </a:schemeClr>
              </a:fgClr>
              <a:bgClr>
                <a:schemeClr val="lt1"/>
              </a:bgClr>
            </a:pattFill>
            <a:ln>
              <a:noFill/>
            </a:ln>
            <a:effectLst/>
          </c:spPr>
          <c:invertIfNegative val="0"/>
          <c:dLbls>
            <c:spPr>
              <a:solidFill>
                <a:sysClr val="windowText" lastClr="000000">
                  <a:tint val="88500"/>
                  <a:alpha val="70000"/>
                </a:sys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tint val="88500"/>
                          <a:lumMod val="60000"/>
                          <a:lumOff val="40000"/>
                        </a:schemeClr>
                      </a:solidFill>
                    </a:ln>
                    <a:effectLst/>
                  </c:spPr>
                </c15:leaderLines>
              </c:ext>
            </c:extLst>
          </c:dLbls>
          <c:cat>
            <c:strRef>
              <c:f>'12.09.2026 Part2'!$A$146:$A$160</c:f>
              <c:strCache>
                <c:ptCount val="14"/>
                <c:pt idx="0">
                  <c:v>Ahmedabad</c:v>
                </c:pt>
                <c:pt idx="1">
                  <c:v>Bangalore</c:v>
                </c:pt>
                <c:pt idx="2">
                  <c:v>Chandigarh</c:v>
                </c:pt>
                <c:pt idx="3">
                  <c:v>Chennai</c:v>
                </c:pt>
                <c:pt idx="4">
                  <c:v>Delhi</c:v>
                </c:pt>
                <c:pt idx="5">
                  <c:v>Gurgaon</c:v>
                </c:pt>
                <c:pt idx="6">
                  <c:v>Hyderabad</c:v>
                </c:pt>
                <c:pt idx="7">
                  <c:v>Jaipur</c:v>
                </c:pt>
                <c:pt idx="8">
                  <c:v>Kochi</c:v>
                </c:pt>
                <c:pt idx="9">
                  <c:v>Kolkata</c:v>
                </c:pt>
                <c:pt idx="10">
                  <c:v>Lucknow</c:v>
                </c:pt>
                <c:pt idx="11">
                  <c:v>Mumbai</c:v>
                </c:pt>
                <c:pt idx="12">
                  <c:v>Noida</c:v>
                </c:pt>
                <c:pt idx="13">
                  <c:v>Pune</c:v>
                </c:pt>
              </c:strCache>
            </c:strRef>
          </c:cat>
          <c:val>
            <c:numRef>
              <c:f>'12.09.2026 Part2'!$B$146:$B$160</c:f>
              <c:numCache>
                <c:formatCode>General</c:formatCode>
                <c:ptCount val="14"/>
                <c:pt idx="0">
                  <c:v>915000</c:v>
                </c:pt>
                <c:pt idx="1">
                  <c:v>645000</c:v>
                </c:pt>
                <c:pt idx="2">
                  <c:v>535000</c:v>
                </c:pt>
                <c:pt idx="3">
                  <c:v>175000</c:v>
                </c:pt>
                <c:pt idx="4">
                  <c:v>4740000</c:v>
                </c:pt>
                <c:pt idx="5">
                  <c:v>1665000</c:v>
                </c:pt>
                <c:pt idx="6">
                  <c:v>130000</c:v>
                </c:pt>
                <c:pt idx="7">
                  <c:v>1530000</c:v>
                </c:pt>
                <c:pt idx="8">
                  <c:v>190000</c:v>
                </c:pt>
                <c:pt idx="9">
                  <c:v>320000</c:v>
                </c:pt>
                <c:pt idx="10">
                  <c:v>1075000</c:v>
                </c:pt>
                <c:pt idx="11">
                  <c:v>355000</c:v>
                </c:pt>
                <c:pt idx="12">
                  <c:v>1070000</c:v>
                </c:pt>
                <c:pt idx="13">
                  <c:v>665000</c:v>
                </c:pt>
              </c:numCache>
            </c:numRef>
          </c:val>
          <c:extLst>
            <c:ext xmlns:c16="http://schemas.microsoft.com/office/drawing/2014/chart" uri="{C3380CC4-5D6E-409C-BE32-E72D297353CC}">
              <c16:uniqueId val="{00000000-6567-41B3-8488-460CDC2A49F3}"/>
            </c:ext>
          </c:extLst>
        </c:ser>
        <c:dLbls>
          <c:dLblPos val="outEnd"/>
          <c:showLegendKey val="0"/>
          <c:showVal val="1"/>
          <c:showCatName val="0"/>
          <c:showSerName val="0"/>
          <c:showPercent val="0"/>
          <c:showBubbleSize val="0"/>
        </c:dLbls>
        <c:gapWidth val="269"/>
        <c:overlap val="-20"/>
        <c:axId val="815752303"/>
        <c:axId val="350353647"/>
      </c:barChart>
      <c:catAx>
        <c:axId val="815752303"/>
        <c:scaling>
          <c:orientation val="minMax"/>
        </c:scaling>
        <c:delete val="0"/>
        <c:axPos val="l"/>
        <c:numFmt formatCode="General" sourceLinked="1"/>
        <c:majorTickMark val="none"/>
        <c:minorTickMark val="none"/>
        <c:tickLblPos val="nextTo"/>
        <c:spPr>
          <a:noFill/>
          <a:ln w="3175" cap="flat" cmpd="sng" algn="ctr">
            <a:solidFill>
              <a:schemeClr val="dk1">
                <a:tint val="88500"/>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350353647"/>
        <c:crosses val="autoZero"/>
        <c:auto val="1"/>
        <c:lblAlgn val="ctr"/>
        <c:lblOffset val="100"/>
        <c:noMultiLvlLbl val="0"/>
      </c:catAx>
      <c:valAx>
        <c:axId val="350353647"/>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15752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tint val="88500"/>
      </a:schemeClr>
    </a:solidFill>
    <a:ln w="9525" cap="flat" cmpd="sng" algn="ctr">
      <a:solidFill>
        <a:schemeClr val="dk1">
          <a:tint val="885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PRACTICE 1.xlsx]12.09.2026 Part2!PivotTable10</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'12.09.2026 Part2'!$B$181</c:f>
              <c:strCache>
                <c:ptCount val="1"/>
                <c:pt idx="0">
                  <c:v>Total</c:v>
                </c:pt>
              </c:strCache>
            </c:strRef>
          </c:tx>
          <c:spPr>
            <a:solidFill>
              <a:schemeClr val="accent1"/>
            </a:solidFill>
            <a:ln>
              <a:noFill/>
            </a:ln>
            <a:effectLst/>
            <a:sp3d/>
          </c:spPr>
          <c:invertIfNegative val="0"/>
          <c:cat>
            <c:strRef>
              <c:f>'12.09.2026 Part2'!$A$182:$A$188</c:f>
              <c:strCache>
                <c:ptCount val="6"/>
                <c:pt idx="0">
                  <c:v>Pune</c:v>
                </c:pt>
                <c:pt idx="1">
                  <c:v>Noida</c:v>
                </c:pt>
                <c:pt idx="2">
                  <c:v>Jaipur</c:v>
                </c:pt>
                <c:pt idx="3">
                  <c:v>Delhi</c:v>
                </c:pt>
                <c:pt idx="4">
                  <c:v>Chandigarh</c:v>
                </c:pt>
                <c:pt idx="5">
                  <c:v>Ahmedabad</c:v>
                </c:pt>
              </c:strCache>
            </c:strRef>
          </c:cat>
          <c:val>
            <c:numRef>
              <c:f>'12.09.2026 Part2'!$B$182:$B$188</c:f>
              <c:numCache>
                <c:formatCode>General</c:formatCode>
                <c:ptCount val="6"/>
                <c:pt idx="0">
                  <c:v>15</c:v>
                </c:pt>
                <c:pt idx="1">
                  <c:v>8</c:v>
                </c:pt>
                <c:pt idx="2">
                  <c:v>10</c:v>
                </c:pt>
                <c:pt idx="3">
                  <c:v>25</c:v>
                </c:pt>
                <c:pt idx="4">
                  <c:v>7</c:v>
                </c:pt>
                <c:pt idx="5">
                  <c:v>7</c:v>
                </c:pt>
              </c:numCache>
            </c:numRef>
          </c:val>
          <c:extLst>
            <c:ext xmlns:c16="http://schemas.microsoft.com/office/drawing/2014/chart" uri="{C3380CC4-5D6E-409C-BE32-E72D297353CC}">
              <c16:uniqueId val="{00000000-B478-4A52-BD49-8E91DD7214C2}"/>
            </c:ext>
          </c:extLst>
        </c:ser>
        <c:dLbls>
          <c:showLegendKey val="0"/>
          <c:showVal val="0"/>
          <c:showCatName val="0"/>
          <c:showSerName val="0"/>
          <c:showPercent val="0"/>
          <c:showBubbleSize val="0"/>
        </c:dLbls>
        <c:gapWidth val="150"/>
        <c:shape val="box"/>
        <c:axId val="847331807"/>
        <c:axId val="350355567"/>
        <c:axId val="0"/>
      </c:bar3DChart>
      <c:catAx>
        <c:axId val="8473318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355567"/>
        <c:crosses val="autoZero"/>
        <c:auto val="1"/>
        <c:lblAlgn val="ctr"/>
        <c:lblOffset val="100"/>
        <c:noMultiLvlLbl val="0"/>
      </c:catAx>
      <c:valAx>
        <c:axId val="3503555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331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PRACTICE 1.xlsx]12.09.2026 Part2!PivotTable11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'12.09.2026 Part2'!$B$200</c:f>
              <c:strCache>
                <c:ptCount val="1"/>
                <c:pt idx="0">
                  <c:v>Total</c:v>
                </c:pt>
              </c:strCache>
            </c:strRef>
          </c:tx>
          <c:spPr>
            <a:solidFill>
              <a:schemeClr val="accent1"/>
            </a:solidFill>
            <a:ln>
              <a:noFill/>
            </a:ln>
            <a:effectLst/>
            <a:sp3d/>
          </c:spPr>
          <c:invertIfNegative val="0"/>
          <c:cat>
            <c:strRef>
              <c:f>'12.09.2026 Part2'!$A$201:$A$205</c:f>
              <c:strCache>
                <c:ptCount val="4"/>
                <c:pt idx="0">
                  <c:v>AC</c:v>
                </c:pt>
                <c:pt idx="1">
                  <c:v>Laptop</c:v>
                </c:pt>
                <c:pt idx="2">
                  <c:v>Refrigerator</c:v>
                </c:pt>
                <c:pt idx="3">
                  <c:v>TV</c:v>
                </c:pt>
              </c:strCache>
            </c:strRef>
          </c:cat>
          <c:val>
            <c:numRef>
              <c:f>'12.09.2026 Part2'!$B$201:$B$205</c:f>
              <c:numCache>
                <c:formatCode>General</c:formatCode>
                <c:ptCount val="4"/>
                <c:pt idx="0">
                  <c:v>42000</c:v>
                </c:pt>
                <c:pt idx="1">
                  <c:v>117000</c:v>
                </c:pt>
                <c:pt idx="2">
                  <c:v>67000</c:v>
                </c:pt>
                <c:pt idx="3">
                  <c:v>45000</c:v>
                </c:pt>
              </c:numCache>
            </c:numRef>
          </c:val>
          <c:extLst>
            <c:ext xmlns:c16="http://schemas.microsoft.com/office/drawing/2014/chart" uri="{C3380CC4-5D6E-409C-BE32-E72D297353CC}">
              <c16:uniqueId val="{00000000-364B-480C-8ACE-30749ED0D72D}"/>
            </c:ext>
          </c:extLst>
        </c:ser>
        <c:dLbls>
          <c:showLegendKey val="0"/>
          <c:showVal val="0"/>
          <c:showCatName val="0"/>
          <c:showSerName val="0"/>
          <c:showPercent val="0"/>
          <c:showBubbleSize val="0"/>
        </c:dLbls>
        <c:gapWidth val="150"/>
        <c:shape val="box"/>
        <c:axId val="815747663"/>
        <c:axId val="350445327"/>
        <c:axId val="0"/>
      </c:bar3DChart>
      <c:catAx>
        <c:axId val="8157476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445327"/>
        <c:crosses val="autoZero"/>
        <c:auto val="1"/>
        <c:lblAlgn val="ctr"/>
        <c:lblOffset val="100"/>
        <c:noMultiLvlLbl val="0"/>
      </c:catAx>
      <c:valAx>
        <c:axId val="3504453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747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PRACTICE 1.xlsx]12.09.2026 Part2!PivotTable15</c:name>
    <c:fmtId val="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'12.09.2026 Part2'!$B$222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A5F-48DA-8C80-655DC767D3B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A5F-48DA-8C80-655DC767D3B6}"/>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A5F-48DA-8C80-655DC767D3B6}"/>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DA5F-48DA-8C80-655DC767D3B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'12.09.2026 Part2'!$A$223:$A$227</c:f>
              <c:strCache>
                <c:ptCount val="4"/>
                <c:pt idx="0">
                  <c:v>Cash</c:v>
                </c:pt>
                <c:pt idx="1">
                  <c:v>Credit Card</c:v>
                </c:pt>
                <c:pt idx="2">
                  <c:v>Net Banking</c:v>
                </c:pt>
                <c:pt idx="3">
                  <c:v>UPI</c:v>
                </c:pt>
              </c:strCache>
            </c:strRef>
          </c:cat>
          <c:val>
            <c:numRef>
              <c:f>'12.09.2026 Part2'!$B$223:$B$227</c:f>
              <c:numCache>
                <c:formatCode>General</c:formatCode>
                <c:ptCount val="4"/>
                <c:pt idx="0">
                  <c:v>1705000</c:v>
                </c:pt>
                <c:pt idx="1">
                  <c:v>2635000</c:v>
                </c:pt>
                <c:pt idx="2">
                  <c:v>4035000</c:v>
                </c:pt>
                <c:pt idx="3">
                  <c:v>5635000</c:v>
                </c:pt>
              </c:numCache>
            </c:numRef>
          </c:val>
          <c:extLst>
            <c:ext xmlns:c16="http://schemas.microsoft.com/office/drawing/2014/chart" uri="{C3380CC4-5D6E-409C-BE32-E72D297353CC}">
              <c16:uniqueId val="{00000000-93A4-46EB-B9A7-DCFF91C8C4A5}"/>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PRACTICE 1.xlsx]12.09.2026 Part2!PivotTable16</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'12.09.2026 Part2'!$V$5</c:f>
              <c:strCache>
                <c:ptCount val="1"/>
                <c:pt idx="0">
                  <c:v>Total</c:v>
                </c:pt>
              </c:strCache>
            </c:strRef>
          </c:tx>
          <c:spPr>
            <a:solidFill>
              <a:schemeClr val="accent1"/>
            </a:solidFill>
            <a:ln>
              <a:noFill/>
            </a:ln>
            <a:effectLst/>
            <a:sp3d/>
          </c:spPr>
          <c:invertIfNegative val="0"/>
          <c:cat>
            <c:strRef>
              <c:f>'12.09.2026 Part2'!$U$6:$U$8</c:f>
              <c:strCache>
                <c:ptCount val="2"/>
                <c:pt idx="0">
                  <c:v>ADULT</c:v>
                </c:pt>
                <c:pt idx="1">
                  <c:v>SENIOUR</c:v>
                </c:pt>
              </c:strCache>
            </c:strRef>
          </c:cat>
          <c:val>
            <c:numRef>
              <c:f>'12.09.2026 Part2'!$V$6:$V$8</c:f>
              <c:numCache>
                <c:formatCode>General</c:formatCode>
                <c:ptCount val="2"/>
                <c:pt idx="0">
                  <c:v>6410000</c:v>
                </c:pt>
                <c:pt idx="1">
                  <c:v>7250000</c:v>
                </c:pt>
              </c:numCache>
            </c:numRef>
          </c:val>
          <c:extLst>
            <c:ext xmlns:c16="http://schemas.microsoft.com/office/drawing/2014/chart" uri="{C3380CC4-5D6E-409C-BE32-E72D297353CC}">
              <c16:uniqueId val="{00000000-58E0-4485-A6E3-1B2BA0B8AC81}"/>
            </c:ext>
          </c:extLst>
        </c:ser>
        <c:dLbls>
          <c:showLegendKey val="0"/>
          <c:showVal val="0"/>
          <c:showCatName val="0"/>
          <c:showSerName val="0"/>
          <c:showPercent val="0"/>
          <c:showBubbleSize val="0"/>
        </c:dLbls>
        <c:gapWidth val="150"/>
        <c:shape val="box"/>
        <c:axId val="844914511"/>
        <c:axId val="350339727"/>
        <c:axId val="0"/>
      </c:bar3DChart>
      <c:catAx>
        <c:axId val="8449145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339727"/>
        <c:crosses val="autoZero"/>
        <c:auto val="1"/>
        <c:lblAlgn val="ctr"/>
        <c:lblOffset val="100"/>
        <c:noMultiLvlLbl val="0"/>
      </c:catAx>
      <c:valAx>
        <c:axId val="350339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914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PRACTICE 1.xlsx]12.09.2026 Part3!PivotTable1</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'12.09.2026 Part3'!$M$1</c:f>
              <c:strCache>
                <c:ptCount val="1"/>
                <c:pt idx="0">
                  <c:v>Sum of Sales</c:v>
                </c:pt>
              </c:strCache>
            </c:strRef>
          </c:tx>
          <c:spPr>
            <a:ln w="28575" cap="rnd">
              <a:solidFill>
                <a:schemeClr val="accent1"/>
              </a:solidFill>
              <a:round/>
            </a:ln>
            <a:effectLst/>
          </c:spPr>
          <c:marker>
            <c:symbol val="none"/>
          </c:marker>
          <c:cat>
            <c:strRef>
              <c:f>'12.09.2026 Part3'!$L$2:$L$10</c:f>
              <c:strCache>
                <c:ptCount val="8"/>
                <c:pt idx="0">
                  <c:v>2018</c:v>
                </c:pt>
                <c:pt idx="1">
                  <c:v>2019</c:v>
                </c:pt>
                <c:pt idx="2">
                  <c:v>2020</c:v>
                </c:pt>
                <c:pt idx="3">
                  <c:v>2021</c:v>
                </c:pt>
                <c:pt idx="4">
                  <c:v>2022</c:v>
                </c:pt>
                <c:pt idx="5">
                  <c:v>2024</c:v>
                </c:pt>
                <c:pt idx="6">
                  <c:v>2025</c:v>
                </c:pt>
                <c:pt idx="7">
                  <c:v>2026</c:v>
                </c:pt>
              </c:strCache>
            </c:strRef>
          </c:cat>
          <c:val>
            <c:numRef>
              <c:f>'12.09.2026 Part3'!$M$2:$M$10</c:f>
              <c:numCache>
                <c:formatCode>General</c:formatCode>
                <c:ptCount val="8"/>
                <c:pt idx="0">
                  <c:v>610000</c:v>
                </c:pt>
                <c:pt idx="1">
                  <c:v>625000</c:v>
                </c:pt>
                <c:pt idx="2">
                  <c:v>1125000</c:v>
                </c:pt>
                <c:pt idx="3">
                  <c:v>1175000</c:v>
                </c:pt>
                <c:pt idx="4">
                  <c:v>779000</c:v>
                </c:pt>
                <c:pt idx="5">
                  <c:v>1880000</c:v>
                </c:pt>
                <c:pt idx="6">
                  <c:v>1926000</c:v>
                </c:pt>
                <c:pt idx="7">
                  <c:v>2635000</c:v>
                </c:pt>
              </c:numCache>
            </c:numRef>
          </c:val>
          <c:smooth val="0"/>
          <c:extLst>
            <c:ext xmlns:c16="http://schemas.microsoft.com/office/drawing/2014/chart" uri="{C3380CC4-5D6E-409C-BE32-E72D297353CC}">
              <c16:uniqueId val="{00000000-871E-41D8-AF65-F32FEA35844E}"/>
            </c:ext>
          </c:extLst>
        </c:ser>
        <c:ser>
          <c:idx val="1"/>
          <c:order val="1"/>
          <c:tx>
            <c:strRef>
              <c:f>'12.09.2026 Part3'!$N$1</c:f>
              <c:strCache>
                <c:ptCount val="1"/>
                <c:pt idx="0">
                  <c:v>Sum of Profit</c:v>
                </c:pt>
              </c:strCache>
            </c:strRef>
          </c:tx>
          <c:spPr>
            <a:ln w="28575" cap="rnd">
              <a:solidFill>
                <a:schemeClr val="accent2"/>
              </a:solidFill>
              <a:round/>
            </a:ln>
            <a:effectLst/>
          </c:spPr>
          <c:marker>
            <c:symbol val="none"/>
          </c:marker>
          <c:cat>
            <c:strRef>
              <c:f>'12.09.2026 Part3'!$L$2:$L$10</c:f>
              <c:strCache>
                <c:ptCount val="8"/>
                <c:pt idx="0">
                  <c:v>2018</c:v>
                </c:pt>
                <c:pt idx="1">
                  <c:v>2019</c:v>
                </c:pt>
                <c:pt idx="2">
                  <c:v>2020</c:v>
                </c:pt>
                <c:pt idx="3">
                  <c:v>2021</c:v>
                </c:pt>
                <c:pt idx="4">
                  <c:v>2022</c:v>
                </c:pt>
                <c:pt idx="5">
                  <c:v>2024</c:v>
                </c:pt>
                <c:pt idx="6">
                  <c:v>2025</c:v>
                </c:pt>
                <c:pt idx="7">
                  <c:v>2026</c:v>
                </c:pt>
              </c:strCache>
            </c:strRef>
          </c:cat>
          <c:val>
            <c:numRef>
              <c:f>'12.09.2026 Part3'!$N$2:$N$10</c:f>
              <c:numCache>
                <c:formatCode>General</c:formatCode>
                <c:ptCount val="8"/>
                <c:pt idx="0">
                  <c:v>102000</c:v>
                </c:pt>
                <c:pt idx="1">
                  <c:v>103000</c:v>
                </c:pt>
                <c:pt idx="2">
                  <c:v>188000</c:v>
                </c:pt>
                <c:pt idx="3">
                  <c:v>196000</c:v>
                </c:pt>
                <c:pt idx="4">
                  <c:v>131000</c:v>
                </c:pt>
                <c:pt idx="5">
                  <c:v>312000</c:v>
                </c:pt>
                <c:pt idx="6">
                  <c:v>321000</c:v>
                </c:pt>
                <c:pt idx="7">
                  <c:v>439000</c:v>
                </c:pt>
              </c:numCache>
            </c:numRef>
          </c:val>
          <c:smooth val="0"/>
          <c:extLst>
            <c:ext xmlns:c16="http://schemas.microsoft.com/office/drawing/2014/chart" uri="{C3380CC4-5D6E-409C-BE32-E72D297353CC}">
              <c16:uniqueId val="{00000001-871E-41D8-AF65-F32FEA35844E}"/>
            </c:ext>
          </c:extLst>
        </c:ser>
        <c:dLbls>
          <c:showLegendKey val="0"/>
          <c:showVal val="0"/>
          <c:showCatName val="0"/>
          <c:showSerName val="0"/>
          <c:showPercent val="0"/>
          <c:showBubbleSize val="0"/>
        </c:dLbls>
        <c:smooth val="0"/>
        <c:axId val="611293247"/>
        <c:axId val="382372143"/>
      </c:lineChart>
      <c:catAx>
        <c:axId val="611293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372143"/>
        <c:crosses val="autoZero"/>
        <c:auto val="1"/>
        <c:lblAlgn val="ctr"/>
        <c:lblOffset val="100"/>
        <c:noMultiLvlLbl val="0"/>
      </c:catAx>
      <c:valAx>
        <c:axId val="382372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293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PRACTICE 1.xlsx]12.09.2026 Part3!PivotTable2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'12.09.2026 Part3'!$M$30</c:f>
              <c:strCache>
                <c:ptCount val="1"/>
                <c:pt idx="0">
                  <c:v>Total</c:v>
                </c:pt>
              </c:strCache>
            </c:strRef>
          </c:tx>
          <c:spPr>
            <a:ln w="28575" cap="rnd">
              <a:solidFill>
                <a:schemeClr val="accent1"/>
              </a:solidFill>
              <a:round/>
            </a:ln>
            <a:effectLst/>
          </c:spPr>
          <c:marker>
            <c:symbol val="none"/>
          </c:marker>
          <c:cat>
            <c:strRef>
              <c:f>'12.09.2026 Part3'!$L$31:$L$59</c:f>
              <c:strCache>
                <c:ptCount val="28"/>
                <c:pt idx="0">
                  <c:v>4</c:v>
                </c:pt>
                <c:pt idx="1">
                  <c:v>5</c:v>
                </c:pt>
                <c:pt idx="2">
                  <c:v>6</c:v>
                </c:pt>
                <c:pt idx="3">
                  <c:v>7</c:v>
                </c:pt>
                <c:pt idx="4">
                  <c:v>8</c:v>
                </c:pt>
                <c:pt idx="5">
                  <c:v>9</c:v>
                </c:pt>
                <c:pt idx="6">
                  <c:v>10</c:v>
                </c:pt>
                <c:pt idx="7">
                  <c:v>11</c:v>
                </c:pt>
                <c:pt idx="8">
                  <c:v>12</c:v>
                </c:pt>
                <c:pt idx="9">
                  <c:v>13</c:v>
                </c:pt>
                <c:pt idx="10">
                  <c:v>14</c:v>
                </c:pt>
                <c:pt idx="11">
                  <c:v>15</c:v>
                </c:pt>
                <c:pt idx="12">
                  <c:v>16</c:v>
                </c:pt>
                <c:pt idx="13">
                  <c:v>17</c:v>
                </c:pt>
                <c:pt idx="14">
                  <c:v>18</c:v>
                </c:pt>
                <c:pt idx="15">
                  <c:v>19</c:v>
                </c:pt>
                <c:pt idx="16">
                  <c:v>20</c:v>
                </c:pt>
                <c:pt idx="17">
                  <c:v>21</c:v>
                </c:pt>
                <c:pt idx="18">
                  <c:v>22</c:v>
                </c:pt>
                <c:pt idx="19">
                  <c:v>24</c:v>
                </c:pt>
                <c:pt idx="20">
                  <c:v>25</c:v>
                </c:pt>
                <c:pt idx="21">
                  <c:v>27</c:v>
                </c:pt>
                <c:pt idx="22">
                  <c:v>28</c:v>
                </c:pt>
                <c:pt idx="23">
                  <c:v>30</c:v>
                </c:pt>
                <c:pt idx="24">
                  <c:v>32</c:v>
                </c:pt>
                <c:pt idx="25">
                  <c:v>35</c:v>
                </c:pt>
                <c:pt idx="26">
                  <c:v>40</c:v>
                </c:pt>
                <c:pt idx="27">
                  <c:v>45</c:v>
                </c:pt>
              </c:strCache>
            </c:strRef>
          </c:cat>
          <c:val>
            <c:numRef>
              <c:f>'12.09.2026 Part3'!$M$31:$M$59</c:f>
              <c:numCache>
                <c:formatCode>General</c:formatCode>
                <c:ptCount val="28"/>
                <c:pt idx="0">
                  <c:v>32000</c:v>
                </c:pt>
                <c:pt idx="1">
                  <c:v>120000</c:v>
                </c:pt>
                <c:pt idx="2">
                  <c:v>96000</c:v>
                </c:pt>
                <c:pt idx="3">
                  <c:v>112000</c:v>
                </c:pt>
                <c:pt idx="4">
                  <c:v>105000</c:v>
                </c:pt>
                <c:pt idx="5">
                  <c:v>94000</c:v>
                </c:pt>
                <c:pt idx="6">
                  <c:v>50000</c:v>
                </c:pt>
                <c:pt idx="7">
                  <c:v>27000</c:v>
                </c:pt>
                <c:pt idx="8">
                  <c:v>90000</c:v>
                </c:pt>
                <c:pt idx="9">
                  <c:v>64000</c:v>
                </c:pt>
                <c:pt idx="10">
                  <c:v>105000</c:v>
                </c:pt>
                <c:pt idx="11">
                  <c:v>112000</c:v>
                </c:pt>
                <c:pt idx="12">
                  <c:v>40000</c:v>
                </c:pt>
                <c:pt idx="13">
                  <c:v>42000</c:v>
                </c:pt>
                <c:pt idx="14">
                  <c:v>90000</c:v>
                </c:pt>
                <c:pt idx="15">
                  <c:v>47000</c:v>
                </c:pt>
                <c:pt idx="16">
                  <c:v>62000</c:v>
                </c:pt>
                <c:pt idx="17">
                  <c:v>52000</c:v>
                </c:pt>
                <c:pt idx="18">
                  <c:v>55000</c:v>
                </c:pt>
                <c:pt idx="19">
                  <c:v>60000</c:v>
                </c:pt>
                <c:pt idx="20">
                  <c:v>72000</c:v>
                </c:pt>
                <c:pt idx="21">
                  <c:v>67000</c:v>
                </c:pt>
                <c:pt idx="22">
                  <c:v>17000</c:v>
                </c:pt>
                <c:pt idx="23">
                  <c:v>93000</c:v>
                </c:pt>
                <c:pt idx="24">
                  <c:v>19000</c:v>
                </c:pt>
                <c:pt idx="25">
                  <c:v>35000</c:v>
                </c:pt>
                <c:pt idx="26">
                  <c:v>16000</c:v>
                </c:pt>
                <c:pt idx="27">
                  <c:v>18000</c:v>
                </c:pt>
              </c:numCache>
            </c:numRef>
          </c:val>
          <c:smooth val="0"/>
          <c:extLst>
            <c:ext xmlns:c16="http://schemas.microsoft.com/office/drawing/2014/chart" uri="{C3380CC4-5D6E-409C-BE32-E72D297353CC}">
              <c16:uniqueId val="{00000000-C928-4B00-AD9D-65866EB565AE}"/>
            </c:ext>
          </c:extLst>
        </c:ser>
        <c:dLbls>
          <c:showLegendKey val="0"/>
          <c:showVal val="0"/>
          <c:showCatName val="0"/>
          <c:showSerName val="0"/>
          <c:showPercent val="0"/>
          <c:showBubbleSize val="0"/>
        </c:dLbls>
        <c:smooth val="0"/>
        <c:axId val="616016655"/>
        <c:axId val="382481103"/>
      </c:lineChart>
      <c:catAx>
        <c:axId val="616016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481103"/>
        <c:crosses val="autoZero"/>
        <c:auto val="1"/>
        <c:lblAlgn val="ctr"/>
        <c:lblOffset val="100"/>
        <c:noMultiLvlLbl val="0"/>
      </c:catAx>
      <c:valAx>
        <c:axId val="382481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016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'12.09.2026 Part3'!$D$64</c:f>
              <c:strCache>
                <c:ptCount val="1"/>
                <c:pt idx="0">
                  <c:v>Sale Amount</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'12.09.2026 Part3'!$C$65:$C$68</c:f>
              <c:numCache>
                <c:formatCode>General</c:formatCode>
                <c:ptCount val="4"/>
                <c:pt idx="0">
                  <c:v>5</c:v>
                </c:pt>
                <c:pt idx="1">
                  <c:v>10</c:v>
                </c:pt>
                <c:pt idx="2">
                  <c:v>15</c:v>
                </c:pt>
                <c:pt idx="3">
                  <c:v>20</c:v>
                </c:pt>
              </c:numCache>
            </c:numRef>
          </c:xVal>
          <c:yVal>
            <c:numRef>
              <c:f>'12.09.2026 Part3'!$D$65:$D$68</c:f>
              <c:numCache>
                <c:formatCode>General</c:formatCode>
                <c:ptCount val="4"/>
                <c:pt idx="0">
                  <c:v>10</c:v>
                </c:pt>
                <c:pt idx="1">
                  <c:v>15</c:v>
                </c:pt>
                <c:pt idx="2">
                  <c:v>20</c:v>
                </c:pt>
                <c:pt idx="3">
                  <c:v>25</c:v>
                </c:pt>
              </c:numCache>
            </c:numRef>
          </c:yVal>
          <c:smooth val="1"/>
          <c:extLst>
            <c:ext xmlns:c16="http://schemas.microsoft.com/office/drawing/2014/chart" uri="{C3380CC4-5D6E-409C-BE32-E72D297353CC}">
              <c16:uniqueId val="{00000000-3DA9-4EB7-9896-018DA0839229}"/>
            </c:ext>
          </c:extLst>
        </c:ser>
        <c:dLbls>
          <c:showLegendKey val="0"/>
          <c:showVal val="0"/>
          <c:showCatName val="0"/>
          <c:showSerName val="0"/>
          <c:showPercent val="0"/>
          <c:showBubbleSize val="0"/>
        </c:dLbls>
        <c:axId val="742497663"/>
        <c:axId val="382487823"/>
      </c:scatterChart>
      <c:valAx>
        <c:axId val="7424976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487823"/>
        <c:crosses val="autoZero"/>
        <c:crossBetween val="midCat"/>
      </c:valAx>
      <c:valAx>
        <c:axId val="382487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49766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'12.09.2026 Part3'!$D$78</c:f>
              <c:strCache>
                <c:ptCount val="1"/>
                <c:pt idx="0">
                  <c:v>Sale Amount</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'12.09.2026 Part3'!$C$79:$C$82</c:f>
              <c:numCache>
                <c:formatCode>General</c:formatCode>
                <c:ptCount val="4"/>
                <c:pt idx="0">
                  <c:v>5</c:v>
                </c:pt>
                <c:pt idx="1">
                  <c:v>10</c:v>
                </c:pt>
                <c:pt idx="2">
                  <c:v>15</c:v>
                </c:pt>
                <c:pt idx="3">
                  <c:v>20</c:v>
                </c:pt>
              </c:numCache>
            </c:numRef>
          </c:xVal>
          <c:yVal>
            <c:numRef>
              <c:f>'12.09.2026 Part3'!$D$79:$D$82</c:f>
              <c:numCache>
                <c:formatCode>General</c:formatCode>
                <c:ptCount val="4"/>
                <c:pt idx="0">
                  <c:v>25</c:v>
                </c:pt>
                <c:pt idx="1">
                  <c:v>20</c:v>
                </c:pt>
                <c:pt idx="2">
                  <c:v>15</c:v>
                </c:pt>
                <c:pt idx="3">
                  <c:v>10</c:v>
                </c:pt>
              </c:numCache>
            </c:numRef>
          </c:yVal>
          <c:smooth val="1"/>
          <c:extLst>
            <c:ext xmlns:c16="http://schemas.microsoft.com/office/drawing/2014/chart" uri="{C3380CC4-5D6E-409C-BE32-E72D297353CC}">
              <c16:uniqueId val="{00000000-D2E5-401A-881D-08BF44581A60}"/>
            </c:ext>
          </c:extLst>
        </c:ser>
        <c:dLbls>
          <c:showLegendKey val="0"/>
          <c:showVal val="0"/>
          <c:showCatName val="0"/>
          <c:showSerName val="0"/>
          <c:showPercent val="0"/>
          <c:showBubbleSize val="0"/>
        </c:dLbls>
        <c:axId val="741290527"/>
        <c:axId val="382486863"/>
      </c:scatterChart>
      <c:valAx>
        <c:axId val="7412905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486863"/>
        <c:crosses val="autoZero"/>
        <c:crossBetween val="midCat"/>
      </c:valAx>
      <c:valAx>
        <c:axId val="382486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129052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PRACTICE 1.xlsx]12.09.2026 Part3!PivotTable3</c:name>
    <c:fmtId val="1"/>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'12.09.2026 Part3'!$S$2</c:f>
              <c:strCache>
                <c:ptCount val="1"/>
                <c:pt idx="0">
                  <c:v>Sum of Sales</c:v>
                </c:pt>
              </c:strCache>
            </c:strRef>
          </c:tx>
          <c:spPr>
            <a:solidFill>
              <a:schemeClr val="accent1"/>
            </a:solidFill>
            <a:ln>
              <a:noFill/>
            </a:ln>
            <a:effectLst/>
            <a:sp3d/>
          </c:spPr>
          <c:invertIfNegative val="0"/>
          <c:cat>
            <c:strRef>
              <c:f>'12.09.2026 Part3'!$R$3:$R$7</c:f>
              <c:strCache>
                <c:ptCount val="4"/>
                <c:pt idx="0">
                  <c:v>East</c:v>
                </c:pt>
                <c:pt idx="1">
                  <c:v>North</c:v>
                </c:pt>
                <c:pt idx="2">
                  <c:v>South</c:v>
                </c:pt>
                <c:pt idx="3">
                  <c:v>West</c:v>
                </c:pt>
              </c:strCache>
            </c:strRef>
          </c:cat>
          <c:val>
            <c:numRef>
              <c:f>'12.09.2026 Part3'!$S$3:$S$7</c:f>
              <c:numCache>
                <c:formatCode>General</c:formatCode>
                <c:ptCount val="4"/>
                <c:pt idx="0">
                  <c:v>2176000</c:v>
                </c:pt>
                <c:pt idx="1">
                  <c:v>3325000</c:v>
                </c:pt>
                <c:pt idx="2">
                  <c:v>3179000</c:v>
                </c:pt>
                <c:pt idx="3">
                  <c:v>2075000</c:v>
                </c:pt>
              </c:numCache>
            </c:numRef>
          </c:val>
          <c:extLst>
            <c:ext xmlns:c16="http://schemas.microsoft.com/office/drawing/2014/chart" uri="{C3380CC4-5D6E-409C-BE32-E72D297353CC}">
              <c16:uniqueId val="{00000000-182E-43F3-9EFB-D35EEC4B0B14}"/>
            </c:ext>
          </c:extLst>
        </c:ser>
        <c:ser>
          <c:idx val="1"/>
          <c:order val="1"/>
          <c:tx>
            <c:strRef>
              <c:f>'12.09.2026 Part3'!$T$2</c:f>
              <c:strCache>
                <c:ptCount val="1"/>
                <c:pt idx="0">
                  <c:v>Sum of Profit</c:v>
                </c:pt>
              </c:strCache>
            </c:strRef>
          </c:tx>
          <c:spPr>
            <a:solidFill>
              <a:schemeClr val="accent2"/>
            </a:solidFill>
            <a:ln>
              <a:noFill/>
            </a:ln>
            <a:effectLst/>
            <a:sp3d/>
          </c:spPr>
          <c:invertIfNegative val="0"/>
          <c:cat>
            <c:strRef>
              <c:f>'12.09.2026 Part3'!$R$3:$R$7</c:f>
              <c:strCache>
                <c:ptCount val="4"/>
                <c:pt idx="0">
                  <c:v>East</c:v>
                </c:pt>
                <c:pt idx="1">
                  <c:v>North</c:v>
                </c:pt>
                <c:pt idx="2">
                  <c:v>South</c:v>
                </c:pt>
                <c:pt idx="3">
                  <c:v>West</c:v>
                </c:pt>
              </c:strCache>
            </c:strRef>
          </c:cat>
          <c:val>
            <c:numRef>
              <c:f>'12.09.2026 Part3'!$T$3:$T$7</c:f>
              <c:numCache>
                <c:formatCode>General</c:formatCode>
                <c:ptCount val="4"/>
                <c:pt idx="0">
                  <c:v>366000</c:v>
                </c:pt>
                <c:pt idx="1">
                  <c:v>547000</c:v>
                </c:pt>
                <c:pt idx="2">
                  <c:v>529000</c:v>
                </c:pt>
                <c:pt idx="3">
                  <c:v>350000</c:v>
                </c:pt>
              </c:numCache>
            </c:numRef>
          </c:val>
          <c:extLst>
            <c:ext xmlns:c16="http://schemas.microsoft.com/office/drawing/2014/chart" uri="{C3380CC4-5D6E-409C-BE32-E72D297353CC}">
              <c16:uniqueId val="{00000001-182E-43F3-9EFB-D35EEC4B0B14}"/>
            </c:ext>
          </c:extLst>
        </c:ser>
        <c:dLbls>
          <c:showLegendKey val="0"/>
          <c:showVal val="0"/>
          <c:showCatName val="0"/>
          <c:showSerName val="0"/>
          <c:showPercent val="0"/>
          <c:showBubbleSize val="0"/>
        </c:dLbls>
        <c:gapWidth val="150"/>
        <c:shape val="box"/>
        <c:axId val="741282175"/>
        <c:axId val="382391343"/>
        <c:axId val="0"/>
      </c:bar3DChart>
      <c:catAx>
        <c:axId val="7412821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391343"/>
        <c:crosses val="autoZero"/>
        <c:auto val="1"/>
        <c:lblAlgn val="ctr"/>
        <c:lblOffset val="100"/>
        <c:noMultiLvlLbl val="0"/>
      </c:catAx>
      <c:valAx>
        <c:axId val="382391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1282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PRACTICE 1.xlsx]Pivot Table!PivotTable1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East</c:v>
                </c:pt>
              </c:strCache>
            </c:strRef>
          </c:tx>
          <c:spPr>
            <a:solidFill>
              <a:schemeClr val="accent1"/>
            </a:solidFill>
            <a:ln>
              <a:noFill/>
            </a:ln>
            <a:effectLst/>
          </c:spPr>
          <c:invertIfNegative val="0"/>
          <c:cat>
            <c:strRef>
              <c:f>'Pivot Table'!$A$5:$A$8</c:f>
              <c:strCache>
                <c:ptCount val="3"/>
                <c:pt idx="0">
                  <c:v>Electronics</c:v>
                </c:pt>
                <c:pt idx="1">
                  <c:v>Furniture</c:v>
                </c:pt>
                <c:pt idx="2">
                  <c:v>Stationery</c:v>
                </c:pt>
              </c:strCache>
            </c:strRef>
          </c:cat>
          <c:val>
            <c:numRef>
              <c:f>'Pivot Table'!$B$5:$B$8</c:f>
              <c:numCache>
                <c:formatCode>General</c:formatCode>
                <c:ptCount val="3"/>
                <c:pt idx="0">
                  <c:v>310000</c:v>
                </c:pt>
                <c:pt idx="1">
                  <c:v>40000</c:v>
                </c:pt>
                <c:pt idx="2">
                  <c:v>108000</c:v>
                </c:pt>
              </c:numCache>
            </c:numRef>
          </c:val>
          <c:extLst>
            <c:ext xmlns:c16="http://schemas.microsoft.com/office/drawing/2014/chart" uri="{C3380CC4-5D6E-409C-BE32-E72D297353CC}">
              <c16:uniqueId val="{00000000-804B-493E-8168-DD267A1C6BB0}"/>
            </c:ext>
          </c:extLst>
        </c:ser>
        <c:ser>
          <c:idx val="1"/>
          <c:order val="1"/>
          <c:tx>
            <c:strRef>
              <c:f>'Pivot Table'!$C$3:$C$4</c:f>
              <c:strCache>
                <c:ptCount val="1"/>
                <c:pt idx="0">
                  <c:v>North</c:v>
                </c:pt>
              </c:strCache>
            </c:strRef>
          </c:tx>
          <c:spPr>
            <a:solidFill>
              <a:schemeClr val="accent2"/>
            </a:solidFill>
            <a:ln>
              <a:noFill/>
            </a:ln>
            <a:effectLst/>
          </c:spPr>
          <c:invertIfNegative val="0"/>
          <c:cat>
            <c:strRef>
              <c:f>'Pivot Table'!$A$5:$A$8</c:f>
              <c:strCache>
                <c:ptCount val="3"/>
                <c:pt idx="0">
                  <c:v>Electronics</c:v>
                </c:pt>
                <c:pt idx="1">
                  <c:v>Furniture</c:v>
                </c:pt>
                <c:pt idx="2">
                  <c:v>Stationery</c:v>
                </c:pt>
              </c:strCache>
            </c:strRef>
          </c:cat>
          <c:val>
            <c:numRef>
              <c:f>'Pivot Table'!$C$5:$C$8</c:f>
              <c:numCache>
                <c:formatCode>General</c:formatCode>
                <c:ptCount val="3"/>
                <c:pt idx="0">
                  <c:v>260000</c:v>
                </c:pt>
                <c:pt idx="1">
                  <c:v>72000</c:v>
                </c:pt>
                <c:pt idx="2">
                  <c:v>6000</c:v>
                </c:pt>
              </c:numCache>
            </c:numRef>
          </c:val>
          <c:extLst>
            <c:ext xmlns:c16="http://schemas.microsoft.com/office/drawing/2014/chart" uri="{C3380CC4-5D6E-409C-BE32-E72D297353CC}">
              <c16:uniqueId val="{00000001-804B-493E-8168-DD267A1C6BB0}"/>
            </c:ext>
          </c:extLst>
        </c:ser>
        <c:ser>
          <c:idx val="2"/>
          <c:order val="2"/>
          <c:tx>
            <c:strRef>
              <c:f>'Pivot Table'!$D$3:$D$4</c:f>
              <c:strCache>
                <c:ptCount val="1"/>
                <c:pt idx="0">
                  <c:v>South</c:v>
                </c:pt>
              </c:strCache>
            </c:strRef>
          </c:tx>
          <c:spPr>
            <a:solidFill>
              <a:schemeClr val="accent3"/>
            </a:solidFill>
            <a:ln>
              <a:noFill/>
            </a:ln>
            <a:effectLst/>
          </c:spPr>
          <c:invertIfNegative val="0"/>
          <c:cat>
            <c:strRef>
              <c:f>'Pivot Table'!$A$5:$A$8</c:f>
              <c:strCache>
                <c:ptCount val="3"/>
                <c:pt idx="0">
                  <c:v>Electronics</c:v>
                </c:pt>
                <c:pt idx="1">
                  <c:v>Furniture</c:v>
                </c:pt>
                <c:pt idx="2">
                  <c:v>Stationery</c:v>
                </c:pt>
              </c:strCache>
            </c:strRef>
          </c:cat>
          <c:val>
            <c:numRef>
              <c:f>'Pivot Table'!$D$5:$D$8</c:f>
              <c:numCache>
                <c:formatCode>General</c:formatCode>
                <c:ptCount val="3"/>
                <c:pt idx="0">
                  <c:v>340000</c:v>
                </c:pt>
                <c:pt idx="1">
                  <c:v>68000</c:v>
                </c:pt>
                <c:pt idx="2">
                  <c:v>9000</c:v>
                </c:pt>
              </c:numCache>
            </c:numRef>
          </c:val>
          <c:extLst>
            <c:ext xmlns:c16="http://schemas.microsoft.com/office/drawing/2014/chart" uri="{C3380CC4-5D6E-409C-BE32-E72D297353CC}">
              <c16:uniqueId val="{00000002-804B-493E-8168-DD267A1C6BB0}"/>
            </c:ext>
          </c:extLst>
        </c:ser>
        <c:ser>
          <c:idx val="3"/>
          <c:order val="3"/>
          <c:tx>
            <c:strRef>
              <c:f>'Pivot Table'!$E$3:$E$4</c:f>
              <c:strCache>
                <c:ptCount val="1"/>
                <c:pt idx="0">
                  <c:v>West</c:v>
                </c:pt>
              </c:strCache>
            </c:strRef>
          </c:tx>
          <c:spPr>
            <a:solidFill>
              <a:schemeClr val="accent4"/>
            </a:solidFill>
            <a:ln>
              <a:noFill/>
            </a:ln>
            <a:effectLst/>
          </c:spPr>
          <c:invertIfNegative val="0"/>
          <c:cat>
            <c:strRef>
              <c:f>'Pivot Table'!$A$5:$A$8</c:f>
              <c:strCache>
                <c:ptCount val="3"/>
                <c:pt idx="0">
                  <c:v>Electronics</c:v>
                </c:pt>
                <c:pt idx="1">
                  <c:v>Furniture</c:v>
                </c:pt>
                <c:pt idx="2">
                  <c:v>Stationery</c:v>
                </c:pt>
              </c:strCache>
            </c:strRef>
          </c:cat>
          <c:val>
            <c:numRef>
              <c:f>'Pivot Table'!$E$5:$E$8</c:f>
              <c:numCache>
                <c:formatCode>General</c:formatCode>
                <c:ptCount val="3"/>
                <c:pt idx="0">
                  <c:v>470000</c:v>
                </c:pt>
                <c:pt idx="1">
                  <c:v>88000</c:v>
                </c:pt>
                <c:pt idx="2">
                  <c:v>36000</c:v>
                </c:pt>
              </c:numCache>
            </c:numRef>
          </c:val>
          <c:extLst>
            <c:ext xmlns:c16="http://schemas.microsoft.com/office/drawing/2014/chart" uri="{C3380CC4-5D6E-409C-BE32-E72D297353CC}">
              <c16:uniqueId val="{00000003-804B-493E-8168-DD267A1C6BB0}"/>
            </c:ext>
          </c:extLst>
        </c:ser>
        <c:dLbls>
          <c:showLegendKey val="0"/>
          <c:showVal val="0"/>
          <c:showCatName val="0"/>
          <c:showSerName val="0"/>
          <c:showPercent val="0"/>
          <c:showBubbleSize val="0"/>
        </c:dLbls>
        <c:gapWidth val="219"/>
        <c:overlap val="-27"/>
        <c:axId val="535817471"/>
        <c:axId val="350413647"/>
      </c:barChart>
      <c:catAx>
        <c:axId val="53581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413647"/>
        <c:crosses val="autoZero"/>
        <c:auto val="1"/>
        <c:lblAlgn val="ctr"/>
        <c:lblOffset val="100"/>
        <c:noMultiLvlLbl val="0"/>
      </c:catAx>
      <c:valAx>
        <c:axId val="350413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817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PRACTICE 1.xlsx]13.09.2026 Part1!PivotTable1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City VS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'13.09.2026 Part1'!$P$5</c:f>
              <c:strCache>
                <c:ptCount val="1"/>
                <c:pt idx="0">
                  <c:v>Total</c:v>
                </c:pt>
              </c:strCache>
            </c:strRef>
          </c:tx>
          <c:spPr>
            <a:solidFill>
              <a:schemeClr val="accent1"/>
            </a:solidFill>
            <a:ln>
              <a:noFill/>
            </a:ln>
            <a:effectLst/>
          </c:spPr>
          <c:invertIfNegative val="0"/>
          <c:cat>
            <c:strRef>
              <c:f>'13.09.2026 Part1'!$O$6:$O$18</c:f>
              <c:strCache>
                <c:ptCount val="13"/>
                <c:pt idx="0">
                  <c:v>Ahmedabad</c:v>
                </c:pt>
                <c:pt idx="1">
                  <c:v>Bangalore</c:v>
                </c:pt>
                <c:pt idx="2">
                  <c:v>Chandigarh</c:v>
                </c:pt>
                <c:pt idx="3">
                  <c:v>Chennai</c:v>
                </c:pt>
                <c:pt idx="4">
                  <c:v>Delhi</c:v>
                </c:pt>
                <c:pt idx="5">
                  <c:v>Gurgaon</c:v>
                </c:pt>
                <c:pt idx="6">
                  <c:v>Hyderabad</c:v>
                </c:pt>
                <c:pt idx="7">
                  <c:v>Jaipur</c:v>
                </c:pt>
                <c:pt idx="8">
                  <c:v>Kolkata</c:v>
                </c:pt>
                <c:pt idx="9">
                  <c:v>Lucknow</c:v>
                </c:pt>
                <c:pt idx="10">
                  <c:v>Mumbai</c:v>
                </c:pt>
                <c:pt idx="11">
                  <c:v>Noida</c:v>
                </c:pt>
                <c:pt idx="12">
                  <c:v>Pune</c:v>
                </c:pt>
              </c:strCache>
            </c:strRef>
          </c:cat>
          <c:val>
            <c:numRef>
              <c:f>'13.09.2026 Part1'!$P$6:$P$18</c:f>
              <c:numCache>
                <c:formatCode>General</c:formatCode>
                <c:ptCount val="13"/>
                <c:pt idx="0">
                  <c:v>1599</c:v>
                </c:pt>
                <c:pt idx="1">
                  <c:v>2499</c:v>
                </c:pt>
                <c:pt idx="2">
                  <c:v>1199</c:v>
                </c:pt>
                <c:pt idx="3">
                  <c:v>1799</c:v>
                </c:pt>
                <c:pt idx="4">
                  <c:v>8800</c:v>
                </c:pt>
                <c:pt idx="5">
                  <c:v>3100</c:v>
                </c:pt>
                <c:pt idx="6">
                  <c:v>3298</c:v>
                </c:pt>
                <c:pt idx="7">
                  <c:v>5500</c:v>
                </c:pt>
                <c:pt idx="8">
                  <c:v>3200</c:v>
                </c:pt>
                <c:pt idx="9">
                  <c:v>1799</c:v>
                </c:pt>
                <c:pt idx="10">
                  <c:v>2900</c:v>
                </c:pt>
                <c:pt idx="11">
                  <c:v>1099</c:v>
                </c:pt>
                <c:pt idx="12">
                  <c:v>2598</c:v>
                </c:pt>
              </c:numCache>
            </c:numRef>
          </c:val>
          <c:extLst>
            <c:ext xmlns:c16="http://schemas.microsoft.com/office/drawing/2014/chart" uri="{C3380CC4-5D6E-409C-BE32-E72D297353CC}">
              <c16:uniqueId val="{00000000-C8D3-4CC8-972C-D61CDA5DF098}"/>
            </c:ext>
          </c:extLst>
        </c:ser>
        <c:dLbls>
          <c:showLegendKey val="0"/>
          <c:showVal val="0"/>
          <c:showCatName val="0"/>
          <c:showSerName val="0"/>
          <c:showPercent val="0"/>
          <c:showBubbleSize val="0"/>
        </c:dLbls>
        <c:gapWidth val="182"/>
        <c:axId val="1762256207"/>
        <c:axId val="1389550031"/>
      </c:barChart>
      <c:catAx>
        <c:axId val="1762256207"/>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550031"/>
        <c:crosses val="autoZero"/>
        <c:auto val="1"/>
        <c:lblAlgn val="ctr"/>
        <c:lblOffset val="100"/>
        <c:noMultiLvlLbl val="0"/>
      </c:catAx>
      <c:valAx>
        <c:axId val="138955003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2256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PRACTICE 1.xlsx]13.09.2026 Part1!PivotTable2</c:name>
    <c:fmtId val="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'13.09.2026 Part1'!$U$5:$U$6</c:f>
              <c:strCache>
                <c:ptCount val="1"/>
                <c:pt idx="0">
                  <c:v>Delivered</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F630-40DF-A85D-A632A4204C7B}"/>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F630-40DF-A85D-A632A4204C7B}"/>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F630-40DF-A85D-A632A4204C7B}"/>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F630-40DF-A85D-A632A4204C7B}"/>
              </c:ext>
            </c:extLst>
          </c:dPt>
          <c:dPt>
            <c:idx val="4"/>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9-F630-40DF-A85D-A632A4204C7B}"/>
              </c:ext>
            </c:extLst>
          </c:dPt>
          <c:dPt>
            <c:idx val="5"/>
            <c:bubble3D val="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B-F630-40DF-A85D-A632A4204C7B}"/>
              </c:ext>
            </c:extLst>
          </c:dPt>
          <c:dPt>
            <c:idx val="6"/>
            <c:bubble3D val="0"/>
            <c:spPr>
              <a:solidFill>
                <a:schemeClr val="accent1">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D-F630-40DF-A85D-A632A4204C7B}"/>
              </c:ext>
            </c:extLst>
          </c:dPt>
          <c:dPt>
            <c:idx val="7"/>
            <c:bubble3D val="0"/>
            <c:spPr>
              <a:solidFill>
                <a:schemeClr val="accent2">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F-F630-40DF-A85D-A632A4204C7B}"/>
              </c:ext>
            </c:extLst>
          </c:dPt>
          <c:dPt>
            <c:idx val="8"/>
            <c:bubble3D val="0"/>
            <c:spPr>
              <a:solidFill>
                <a:schemeClr val="accent3">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1-F630-40DF-A85D-A632A4204C7B}"/>
              </c:ext>
            </c:extLst>
          </c:dPt>
          <c:dPt>
            <c:idx val="9"/>
            <c:bubble3D val="0"/>
            <c:spPr>
              <a:solidFill>
                <a:schemeClr val="accent4">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3-F630-40DF-A85D-A632A4204C7B}"/>
              </c:ext>
            </c:extLst>
          </c:dPt>
          <c:dPt>
            <c:idx val="10"/>
            <c:bubble3D val="0"/>
            <c:spPr>
              <a:solidFill>
                <a:schemeClr val="accent5">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5-F630-40DF-A85D-A632A4204C7B}"/>
              </c:ext>
            </c:extLst>
          </c:dPt>
          <c:dPt>
            <c:idx val="11"/>
            <c:bubble3D val="0"/>
            <c:spPr>
              <a:solidFill>
                <a:schemeClr val="accent6">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7-F630-40DF-A85D-A632A4204C7B}"/>
              </c:ext>
            </c:extLst>
          </c:dPt>
          <c:dPt>
            <c:idx val="12"/>
            <c:bubble3D val="0"/>
            <c:spPr>
              <a:solidFill>
                <a:schemeClr val="accent1">
                  <a:lumMod val="80000"/>
                  <a:lumOff val="2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9-F630-40DF-A85D-A632A4204C7B}"/>
              </c:ext>
            </c:extLst>
          </c:dPt>
          <c:dPt>
            <c:idx val="13"/>
            <c:bubble3D val="0"/>
            <c:spPr>
              <a:solidFill>
                <a:schemeClr val="accent2">
                  <a:lumMod val="80000"/>
                  <a:lumOff val="2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B-F630-40DF-A85D-A632A4204C7B}"/>
              </c:ext>
            </c:extLst>
          </c:dPt>
          <c:dPt>
            <c:idx val="14"/>
            <c:bubble3D val="0"/>
            <c:spPr>
              <a:solidFill>
                <a:schemeClr val="accent3">
                  <a:lumMod val="80000"/>
                  <a:lumOff val="2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D-F630-40DF-A85D-A632A4204C7B}"/>
              </c:ext>
            </c:extLst>
          </c:dPt>
          <c:dPt>
            <c:idx val="15"/>
            <c:bubble3D val="0"/>
            <c:spPr>
              <a:solidFill>
                <a:schemeClr val="accent4">
                  <a:lumMod val="80000"/>
                  <a:lumOff val="2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F-F630-40DF-A85D-A632A4204C7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'13.09.2026 Part1'!$T$7:$T$22</c:f>
              <c:strCache>
                <c:ptCount val="16"/>
                <c:pt idx="0">
                  <c:v>1099</c:v>
                </c:pt>
                <c:pt idx="1">
                  <c:v>1199</c:v>
                </c:pt>
                <c:pt idx="2">
                  <c:v>1299</c:v>
                </c:pt>
                <c:pt idx="3">
                  <c:v>1599</c:v>
                </c:pt>
                <c:pt idx="4">
                  <c:v>1799</c:v>
                </c:pt>
                <c:pt idx="5">
                  <c:v>1999</c:v>
                </c:pt>
                <c:pt idx="6">
                  <c:v>2499</c:v>
                </c:pt>
                <c:pt idx="7">
                  <c:v>2000</c:v>
                </c:pt>
                <c:pt idx="8">
                  <c:v>3500</c:v>
                </c:pt>
                <c:pt idx="9">
                  <c:v>1900</c:v>
                </c:pt>
                <c:pt idx="10">
                  <c:v>2300</c:v>
                </c:pt>
                <c:pt idx="11">
                  <c:v>3100</c:v>
                </c:pt>
                <c:pt idx="12">
                  <c:v>3200</c:v>
                </c:pt>
                <c:pt idx="13">
                  <c:v>3000</c:v>
                </c:pt>
                <c:pt idx="14">
                  <c:v>1000</c:v>
                </c:pt>
                <c:pt idx="15">
                  <c:v>1500</c:v>
                </c:pt>
              </c:strCache>
            </c:strRef>
          </c:cat>
          <c:val>
            <c:numRef>
              <c:f>'13.09.2026 Part1'!$U$7:$U$22</c:f>
              <c:numCache>
                <c:formatCode>General</c:formatCode>
                <c:ptCount val="16"/>
                <c:pt idx="0">
                  <c:v>1</c:v>
                </c:pt>
                <c:pt idx="2">
                  <c:v>2</c:v>
                </c:pt>
                <c:pt idx="3">
                  <c:v>1</c:v>
                </c:pt>
                <c:pt idx="4">
                  <c:v>2</c:v>
                </c:pt>
                <c:pt idx="5">
                  <c:v>1</c:v>
                </c:pt>
                <c:pt idx="6">
                  <c:v>1</c:v>
                </c:pt>
                <c:pt idx="7">
                  <c:v>2</c:v>
                </c:pt>
                <c:pt idx="8">
                  <c:v>1</c:v>
                </c:pt>
                <c:pt idx="9">
                  <c:v>1</c:v>
                </c:pt>
                <c:pt idx="10">
                  <c:v>1</c:v>
                </c:pt>
                <c:pt idx="11">
                  <c:v>1</c:v>
                </c:pt>
                <c:pt idx="12">
                  <c:v>1</c:v>
                </c:pt>
                <c:pt idx="13">
                  <c:v>1</c:v>
                </c:pt>
                <c:pt idx="14">
                  <c:v>1</c:v>
                </c:pt>
                <c:pt idx="15">
                  <c:v>1</c:v>
                </c:pt>
              </c:numCache>
            </c:numRef>
          </c:val>
          <c:extLst>
            <c:ext xmlns:c16="http://schemas.microsoft.com/office/drawing/2014/chart" uri="{C3380CC4-5D6E-409C-BE32-E72D297353CC}">
              <c16:uniqueId val="{00000000-9D4E-4BE0-8A04-E17B1D897547}"/>
            </c:ext>
          </c:extLst>
        </c:ser>
        <c:ser>
          <c:idx val="1"/>
          <c:order val="1"/>
          <c:tx>
            <c:strRef>
              <c:f>'13.09.2026 Part1'!$V$5:$V$6</c:f>
              <c:strCache>
                <c:ptCount val="1"/>
                <c:pt idx="0">
                  <c:v>Returned</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21-F630-40DF-A85D-A632A4204C7B}"/>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23-F630-40DF-A85D-A632A4204C7B}"/>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25-F630-40DF-A85D-A632A4204C7B}"/>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27-F630-40DF-A85D-A632A4204C7B}"/>
              </c:ext>
            </c:extLst>
          </c:dPt>
          <c:dPt>
            <c:idx val="4"/>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29-F630-40DF-A85D-A632A4204C7B}"/>
              </c:ext>
            </c:extLst>
          </c:dPt>
          <c:dPt>
            <c:idx val="5"/>
            <c:bubble3D val="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2B-F630-40DF-A85D-A632A4204C7B}"/>
              </c:ext>
            </c:extLst>
          </c:dPt>
          <c:dPt>
            <c:idx val="6"/>
            <c:bubble3D val="0"/>
            <c:spPr>
              <a:solidFill>
                <a:schemeClr val="accent1">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2D-F630-40DF-A85D-A632A4204C7B}"/>
              </c:ext>
            </c:extLst>
          </c:dPt>
          <c:dPt>
            <c:idx val="7"/>
            <c:bubble3D val="0"/>
            <c:spPr>
              <a:solidFill>
                <a:schemeClr val="accent2">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2F-F630-40DF-A85D-A632A4204C7B}"/>
              </c:ext>
            </c:extLst>
          </c:dPt>
          <c:dPt>
            <c:idx val="8"/>
            <c:bubble3D val="0"/>
            <c:spPr>
              <a:solidFill>
                <a:schemeClr val="accent3">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31-F630-40DF-A85D-A632A4204C7B}"/>
              </c:ext>
            </c:extLst>
          </c:dPt>
          <c:dPt>
            <c:idx val="9"/>
            <c:bubble3D val="0"/>
            <c:spPr>
              <a:solidFill>
                <a:schemeClr val="accent4">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33-F630-40DF-A85D-A632A4204C7B}"/>
              </c:ext>
            </c:extLst>
          </c:dPt>
          <c:dPt>
            <c:idx val="10"/>
            <c:bubble3D val="0"/>
            <c:spPr>
              <a:solidFill>
                <a:schemeClr val="accent5">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35-F630-40DF-A85D-A632A4204C7B}"/>
              </c:ext>
            </c:extLst>
          </c:dPt>
          <c:dPt>
            <c:idx val="11"/>
            <c:bubble3D val="0"/>
            <c:spPr>
              <a:solidFill>
                <a:schemeClr val="accent6">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37-F630-40DF-A85D-A632A4204C7B}"/>
              </c:ext>
            </c:extLst>
          </c:dPt>
          <c:dPt>
            <c:idx val="12"/>
            <c:bubble3D val="0"/>
            <c:spPr>
              <a:solidFill>
                <a:schemeClr val="accent1">
                  <a:lumMod val="80000"/>
                  <a:lumOff val="2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39-F630-40DF-A85D-A632A4204C7B}"/>
              </c:ext>
            </c:extLst>
          </c:dPt>
          <c:dPt>
            <c:idx val="13"/>
            <c:bubble3D val="0"/>
            <c:spPr>
              <a:solidFill>
                <a:schemeClr val="accent2">
                  <a:lumMod val="80000"/>
                  <a:lumOff val="2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3B-F630-40DF-A85D-A632A4204C7B}"/>
              </c:ext>
            </c:extLst>
          </c:dPt>
          <c:dPt>
            <c:idx val="14"/>
            <c:bubble3D val="0"/>
            <c:spPr>
              <a:solidFill>
                <a:schemeClr val="accent3">
                  <a:lumMod val="80000"/>
                  <a:lumOff val="2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3D-F630-40DF-A85D-A632A4204C7B}"/>
              </c:ext>
            </c:extLst>
          </c:dPt>
          <c:dPt>
            <c:idx val="15"/>
            <c:bubble3D val="0"/>
            <c:spPr>
              <a:solidFill>
                <a:schemeClr val="accent4">
                  <a:lumMod val="80000"/>
                  <a:lumOff val="2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3F-F630-40DF-A85D-A632A4204C7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'13.09.2026 Part1'!$T$7:$T$22</c:f>
              <c:strCache>
                <c:ptCount val="16"/>
                <c:pt idx="0">
                  <c:v>1099</c:v>
                </c:pt>
                <c:pt idx="1">
                  <c:v>1199</c:v>
                </c:pt>
                <c:pt idx="2">
                  <c:v>1299</c:v>
                </c:pt>
                <c:pt idx="3">
                  <c:v>1599</c:v>
                </c:pt>
                <c:pt idx="4">
                  <c:v>1799</c:v>
                </c:pt>
                <c:pt idx="5">
                  <c:v>1999</c:v>
                </c:pt>
                <c:pt idx="6">
                  <c:v>2499</c:v>
                </c:pt>
                <c:pt idx="7">
                  <c:v>2000</c:v>
                </c:pt>
                <c:pt idx="8">
                  <c:v>3500</c:v>
                </c:pt>
                <c:pt idx="9">
                  <c:v>1900</c:v>
                </c:pt>
                <c:pt idx="10">
                  <c:v>2300</c:v>
                </c:pt>
                <c:pt idx="11">
                  <c:v>3100</c:v>
                </c:pt>
                <c:pt idx="12">
                  <c:v>3200</c:v>
                </c:pt>
                <c:pt idx="13">
                  <c:v>3000</c:v>
                </c:pt>
                <c:pt idx="14">
                  <c:v>1000</c:v>
                </c:pt>
                <c:pt idx="15">
                  <c:v>1500</c:v>
                </c:pt>
              </c:strCache>
            </c:strRef>
          </c:cat>
          <c:val>
            <c:numRef>
              <c:f>'13.09.2026 Part1'!$V$7:$V$22</c:f>
              <c:numCache>
                <c:formatCode>General</c:formatCode>
                <c:ptCount val="16"/>
                <c:pt idx="1">
                  <c:v>1</c:v>
                </c:pt>
                <c:pt idx="2">
                  <c:v>1</c:v>
                </c:pt>
              </c:numCache>
            </c:numRef>
          </c:val>
          <c:extLst>
            <c:ext xmlns:c16="http://schemas.microsoft.com/office/drawing/2014/chart" uri="{C3380CC4-5D6E-409C-BE32-E72D297353CC}">
              <c16:uniqueId val="{00000001-9D4E-4BE0-8A04-E17B1D897547}"/>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PRACTICE 1.xlsx]13.09.2026 Part1!PivotTable7</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'13.09.2026 Part1'!$Y$5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cat>
            <c:strRef>
              <c:f>'13.09.2026 Part1'!$X$6:$X$13</c:f>
              <c:strCache>
                <c:ptCount val="8"/>
                <c:pt idx="0">
                  <c:v>Jan</c:v>
                </c:pt>
                <c:pt idx="1">
                  <c:v>Feb</c:v>
                </c:pt>
                <c:pt idx="2">
                  <c:v>Mar</c:v>
                </c:pt>
                <c:pt idx="3">
                  <c:v>Apr</c:v>
                </c:pt>
                <c:pt idx="4">
                  <c:v>May</c:v>
                </c:pt>
                <c:pt idx="5">
                  <c:v>Jul</c:v>
                </c:pt>
                <c:pt idx="6">
                  <c:v>Nov</c:v>
                </c:pt>
                <c:pt idx="7">
                  <c:v>Dec</c:v>
                </c:pt>
              </c:strCache>
            </c:strRef>
          </c:cat>
          <c:val>
            <c:numRef>
              <c:f>'13.09.2026 Part1'!$Y$6:$Y$13</c:f>
              <c:numCache>
                <c:formatCode>0.00,"K"</c:formatCode>
                <c:ptCount val="8"/>
                <c:pt idx="0">
                  <c:v>9417</c:v>
                </c:pt>
                <c:pt idx="1">
                  <c:v>3618</c:v>
                </c:pt>
                <c:pt idx="2">
                  <c:v>3280</c:v>
                </c:pt>
                <c:pt idx="3">
                  <c:v>599</c:v>
                </c:pt>
                <c:pt idx="4">
                  <c:v>6249</c:v>
                </c:pt>
                <c:pt idx="5">
                  <c:v>2949</c:v>
                </c:pt>
                <c:pt idx="6">
                  <c:v>649</c:v>
                </c:pt>
                <c:pt idx="7">
                  <c:v>599</c:v>
                </c:pt>
              </c:numCache>
            </c:numRef>
          </c:val>
          <c:smooth val="0"/>
          <c:extLst>
            <c:ext xmlns:c16="http://schemas.microsoft.com/office/drawing/2014/chart" uri="{C3380CC4-5D6E-409C-BE32-E72D297353CC}">
              <c16:uniqueId val="{00000000-7A27-42C4-97B7-F6B55AAA9497}"/>
            </c:ext>
          </c:extLst>
        </c:ser>
        <c:dLbls>
          <c:showLegendKey val="0"/>
          <c:showVal val="0"/>
          <c:showCatName val="0"/>
          <c:showSerName val="0"/>
          <c:showPercent val="0"/>
          <c:showBubbleSize val="0"/>
        </c:dLbls>
        <c:axId val="1929124703"/>
        <c:axId val="1775366639"/>
        <c:axId val="1522526511"/>
      </c:line3DChart>
      <c:catAx>
        <c:axId val="1929124703"/>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5366639"/>
        <c:crosses val="autoZero"/>
        <c:auto val="1"/>
        <c:lblAlgn val="ctr"/>
        <c:lblOffset val="100"/>
        <c:noMultiLvlLbl val="0"/>
      </c:catAx>
      <c:valAx>
        <c:axId val="1775366639"/>
        <c:scaling>
          <c:orientation val="minMax"/>
        </c:scaling>
        <c:delete val="0"/>
        <c:axPos val="l"/>
        <c:majorGridlines>
          <c:spPr>
            <a:ln w="9525" cap="flat" cmpd="sng" algn="ctr">
              <a:solidFill>
                <a:schemeClr val="dk1">
                  <a:lumMod val="50000"/>
                  <a:lumOff val="50000"/>
                </a:schemeClr>
              </a:solidFill>
              <a:round/>
            </a:ln>
            <a:effectLst/>
          </c:spPr>
        </c:majorGridlines>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9124703"/>
        <c:crosses val="autoZero"/>
        <c:crossBetween val="between"/>
      </c:valAx>
      <c:serAx>
        <c:axId val="1522526511"/>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5366639"/>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PRACTICE 1.xlsx]13.09.2026 Part1!PivotTable16</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'13.09.2026 Part1'!$AD$5</c:f>
              <c:strCache>
                <c:ptCount val="1"/>
                <c:pt idx="0">
                  <c:v>Total</c:v>
                </c:pt>
              </c:strCache>
            </c:strRef>
          </c:tx>
          <c:spPr>
            <a:solidFill>
              <a:schemeClr val="accent1"/>
            </a:solidFill>
            <a:ln>
              <a:noFill/>
            </a:ln>
            <a:effectLst/>
            <a:sp3d/>
          </c:spPr>
          <c:invertIfNegative val="0"/>
          <c:cat>
            <c:strRef>
              <c:f>'13.09.2026 Part1'!$AC$6:$AC$19</c:f>
              <c:strCache>
                <c:ptCount val="13"/>
                <c:pt idx="0">
                  <c:v>09-Jan</c:v>
                </c:pt>
                <c:pt idx="1">
                  <c:v>10-Jan</c:v>
                </c:pt>
                <c:pt idx="2">
                  <c:v>11-Jan</c:v>
                </c:pt>
                <c:pt idx="3">
                  <c:v>12-Jan</c:v>
                </c:pt>
                <c:pt idx="4">
                  <c:v>14-Jan</c:v>
                </c:pt>
                <c:pt idx="5">
                  <c:v>17-Jan</c:v>
                </c:pt>
                <c:pt idx="6">
                  <c:v>08-Feb</c:v>
                </c:pt>
                <c:pt idx="7">
                  <c:v>10-Mar</c:v>
                </c:pt>
                <c:pt idx="8">
                  <c:v>11-Apr</c:v>
                </c:pt>
                <c:pt idx="9">
                  <c:v>12-May</c:v>
                </c:pt>
                <c:pt idx="10">
                  <c:v>15-Jul</c:v>
                </c:pt>
                <c:pt idx="11">
                  <c:v>16-Nov</c:v>
                </c:pt>
                <c:pt idx="12">
                  <c:v>17-Dec</c:v>
                </c:pt>
              </c:strCache>
            </c:strRef>
          </c:cat>
          <c:val>
            <c:numRef>
              <c:f>'13.09.2026 Part1'!$AD$6:$AD$19</c:f>
              <c:numCache>
                <c:formatCode>0.0,"K"</c:formatCode>
                <c:ptCount val="13"/>
                <c:pt idx="0">
                  <c:v>1799</c:v>
                </c:pt>
                <c:pt idx="1">
                  <c:v>1900</c:v>
                </c:pt>
                <c:pt idx="2">
                  <c:v>1799</c:v>
                </c:pt>
                <c:pt idx="3">
                  <c:v>2300</c:v>
                </c:pt>
                <c:pt idx="4">
                  <c:v>4199</c:v>
                </c:pt>
                <c:pt idx="5">
                  <c:v>1500</c:v>
                </c:pt>
                <c:pt idx="6">
                  <c:v>6498</c:v>
                </c:pt>
                <c:pt idx="7">
                  <c:v>3500</c:v>
                </c:pt>
                <c:pt idx="8">
                  <c:v>1299</c:v>
                </c:pt>
                <c:pt idx="9">
                  <c:v>7399</c:v>
                </c:pt>
                <c:pt idx="10">
                  <c:v>4599</c:v>
                </c:pt>
                <c:pt idx="11">
                  <c:v>1299</c:v>
                </c:pt>
                <c:pt idx="12">
                  <c:v>1299</c:v>
                </c:pt>
              </c:numCache>
            </c:numRef>
          </c:val>
          <c:extLst>
            <c:ext xmlns:c16="http://schemas.microsoft.com/office/drawing/2014/chart" uri="{C3380CC4-5D6E-409C-BE32-E72D297353CC}">
              <c16:uniqueId val="{00000000-E2D9-4C16-B7A9-5F581478F0DF}"/>
            </c:ext>
          </c:extLst>
        </c:ser>
        <c:dLbls>
          <c:showLegendKey val="0"/>
          <c:showVal val="0"/>
          <c:showCatName val="0"/>
          <c:showSerName val="0"/>
          <c:showPercent val="0"/>
          <c:showBubbleSize val="0"/>
        </c:dLbls>
        <c:gapWidth val="150"/>
        <c:shape val="box"/>
        <c:axId val="1923487503"/>
        <c:axId val="1775329199"/>
        <c:axId val="0"/>
      </c:bar3DChart>
      <c:catAx>
        <c:axId val="19234875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5329199"/>
        <c:crosses val="autoZero"/>
        <c:auto val="1"/>
        <c:lblAlgn val="ctr"/>
        <c:lblOffset val="100"/>
        <c:noMultiLvlLbl val="0"/>
      </c:catAx>
      <c:valAx>
        <c:axId val="1775329199"/>
        <c:scaling>
          <c:orientation val="minMax"/>
        </c:scaling>
        <c:delete val="0"/>
        <c:axPos val="b"/>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3487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'13.09.2026 Part1'!$AI$5</c:f>
              <c:strCache>
                <c:ptCount val="1"/>
                <c:pt idx="0">
                  <c:v>Discount</c:v>
                </c:pt>
              </c:strCache>
            </c:strRef>
          </c:tx>
          <c:spPr>
            <a:ln w="38100" cap="rnd">
              <a:noFill/>
              <a:round/>
            </a:ln>
            <a:effectLst/>
          </c:spPr>
          <c:marker>
            <c:symbol val="circle"/>
            <c:size val="5"/>
            <c:spPr>
              <a:solidFill>
                <a:schemeClr val="accent1"/>
              </a:solidFill>
              <a:ln w="9525">
                <a:solidFill>
                  <a:schemeClr val="accent1"/>
                </a:solidFill>
              </a:ln>
              <a:effectLst/>
            </c:spPr>
          </c:marker>
          <c:xVal>
            <c:numRef>
              <c:f>'13.09.2026 Part1'!$AH$6:$AH$25</c:f>
              <c:numCache>
                <c:formatCode>0.00,"K"</c:formatCode>
                <c:ptCount val="20"/>
                <c:pt idx="0">
                  <c:v>1820</c:v>
                </c:pt>
                <c:pt idx="1">
                  <c:v>999</c:v>
                </c:pt>
                <c:pt idx="2">
                  <c:v>799</c:v>
                </c:pt>
                <c:pt idx="3">
                  <c:v>849</c:v>
                </c:pt>
                <c:pt idx="4">
                  <c:v>3280</c:v>
                </c:pt>
                <c:pt idx="5">
                  <c:v>1450</c:v>
                </c:pt>
                <c:pt idx="6">
                  <c:v>599</c:v>
                </c:pt>
                <c:pt idx="7">
                  <c:v>799</c:v>
                </c:pt>
                <c:pt idx="8">
                  <c:v>1900</c:v>
                </c:pt>
                <c:pt idx="9">
                  <c:v>549</c:v>
                </c:pt>
                <c:pt idx="10">
                  <c:v>2800</c:v>
                </c:pt>
                <c:pt idx="11">
                  <c:v>2900</c:v>
                </c:pt>
                <c:pt idx="12">
                  <c:v>549</c:v>
                </c:pt>
                <c:pt idx="13">
                  <c:v>2550</c:v>
                </c:pt>
                <c:pt idx="14">
                  <c:v>749</c:v>
                </c:pt>
                <c:pt idx="15">
                  <c:v>1700</c:v>
                </c:pt>
                <c:pt idx="16">
                  <c:v>500</c:v>
                </c:pt>
                <c:pt idx="17">
                  <c:v>649</c:v>
                </c:pt>
                <c:pt idx="18">
                  <c:v>599</c:v>
                </c:pt>
                <c:pt idx="19">
                  <c:v>1320</c:v>
                </c:pt>
              </c:numCache>
            </c:numRef>
          </c:xVal>
          <c:yVal>
            <c:numRef>
              <c:f>'13.09.2026 Part1'!$AI$6:$AI$25</c:f>
              <c:numCache>
                <c:formatCode>0%</c:formatCode>
                <c:ptCount val="20"/>
                <c:pt idx="0">
                  <c:v>0.05</c:v>
                </c:pt>
                <c:pt idx="1">
                  <c:v>0.1</c:v>
                </c:pt>
                <c:pt idx="2">
                  <c:v>0.15</c:v>
                </c:pt>
                <c:pt idx="3">
                  <c:v>0.05</c:v>
                </c:pt>
                <c:pt idx="4">
                  <c:v>0.1</c:v>
                </c:pt>
                <c:pt idx="5">
                  <c:v>0.1</c:v>
                </c:pt>
                <c:pt idx="6">
                  <c:v>0.2</c:v>
                </c:pt>
                <c:pt idx="7">
                  <c:v>0.05</c:v>
                </c:pt>
                <c:pt idx="8">
                  <c:v>0.1</c:v>
                </c:pt>
                <c:pt idx="9">
                  <c:v>0.15</c:v>
                </c:pt>
                <c:pt idx="10">
                  <c:v>0.05</c:v>
                </c:pt>
                <c:pt idx="11">
                  <c:v>0.1</c:v>
                </c:pt>
                <c:pt idx="12">
                  <c:v>0.05</c:v>
                </c:pt>
                <c:pt idx="13">
                  <c:v>0.1</c:v>
                </c:pt>
                <c:pt idx="14">
                  <c:v>0.15</c:v>
                </c:pt>
                <c:pt idx="15">
                  <c:v>0.05</c:v>
                </c:pt>
                <c:pt idx="16">
                  <c:v>0.1</c:v>
                </c:pt>
                <c:pt idx="17">
                  <c:v>0.1</c:v>
                </c:pt>
                <c:pt idx="18">
                  <c:v>0.05</c:v>
                </c:pt>
                <c:pt idx="19">
                  <c:v>0.1</c:v>
                </c:pt>
              </c:numCache>
            </c:numRef>
          </c:yVal>
          <c:smooth val="0"/>
          <c:extLst>
            <c:ext xmlns:c16="http://schemas.microsoft.com/office/drawing/2014/chart" uri="{C3380CC4-5D6E-409C-BE32-E72D297353CC}">
              <c16:uniqueId val="{00000000-118A-462F-B5CA-1632DD3231F0}"/>
            </c:ext>
          </c:extLst>
        </c:ser>
        <c:dLbls>
          <c:showLegendKey val="0"/>
          <c:showVal val="0"/>
          <c:showCatName val="0"/>
          <c:showSerName val="0"/>
          <c:showPercent val="0"/>
          <c:showBubbleSize val="0"/>
        </c:dLbls>
        <c:axId val="1929010559"/>
        <c:axId val="1775386319"/>
      </c:scatterChart>
      <c:valAx>
        <c:axId val="1929010559"/>
        <c:scaling>
          <c:orientation val="minMax"/>
        </c:scaling>
        <c:delete val="0"/>
        <c:axPos val="b"/>
        <c:majorGridlines>
          <c:spPr>
            <a:ln w="9525" cap="flat" cmpd="sng" algn="ctr">
              <a:solidFill>
                <a:schemeClr val="tx1">
                  <a:lumMod val="15000"/>
                  <a:lumOff val="85000"/>
                </a:schemeClr>
              </a:solidFill>
              <a:round/>
            </a:ln>
            <a:effectLst/>
          </c:spPr>
        </c:majorGridlines>
        <c:numFmt formatCode="0.00,&quot;K&quot;"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5386319"/>
        <c:crosses val="autoZero"/>
        <c:crossBetween val="midCat"/>
      </c:valAx>
      <c:valAx>
        <c:axId val="17753863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901055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PRACTICE 1.xlsx]13.09.2026 Part1!PivotTable20</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'13.09.2026 Part1'!$AP$5</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'13.09.2026 Part1'!$AO$6:$AO$18</c:f>
              <c:strCache>
                <c:ptCount val="13"/>
                <c:pt idx="0">
                  <c:v>Ahmedabad</c:v>
                </c:pt>
                <c:pt idx="1">
                  <c:v>Bangalore</c:v>
                </c:pt>
                <c:pt idx="2">
                  <c:v>Chandigarh</c:v>
                </c:pt>
                <c:pt idx="3">
                  <c:v>Chennai</c:v>
                </c:pt>
                <c:pt idx="4">
                  <c:v>Delhi</c:v>
                </c:pt>
                <c:pt idx="5">
                  <c:v>Gurgaon</c:v>
                </c:pt>
                <c:pt idx="6">
                  <c:v>Hyderabad</c:v>
                </c:pt>
                <c:pt idx="7">
                  <c:v>Jaipur</c:v>
                </c:pt>
                <c:pt idx="8">
                  <c:v>Kolkata</c:v>
                </c:pt>
                <c:pt idx="9">
                  <c:v>Lucknow</c:v>
                </c:pt>
                <c:pt idx="10">
                  <c:v>Mumbai</c:v>
                </c:pt>
                <c:pt idx="11">
                  <c:v>Noida</c:v>
                </c:pt>
                <c:pt idx="12">
                  <c:v>Pune</c:v>
                </c:pt>
              </c:strCache>
            </c:strRef>
          </c:cat>
          <c:val>
            <c:numRef>
              <c:f>'13.09.2026 Part1'!$AP$6:$AP$18</c:f>
              <c:numCache>
                <c:formatCode>0.00,"K"</c:formatCode>
                <c:ptCount val="13"/>
                <c:pt idx="0">
                  <c:v>749</c:v>
                </c:pt>
                <c:pt idx="1">
                  <c:v>999</c:v>
                </c:pt>
                <c:pt idx="2">
                  <c:v>549</c:v>
                </c:pt>
                <c:pt idx="3">
                  <c:v>799</c:v>
                </c:pt>
                <c:pt idx="4">
                  <c:v>7590</c:v>
                </c:pt>
                <c:pt idx="5">
                  <c:v>2800</c:v>
                </c:pt>
                <c:pt idx="6">
                  <c:v>1398</c:v>
                </c:pt>
                <c:pt idx="7">
                  <c:v>4980</c:v>
                </c:pt>
                <c:pt idx="8">
                  <c:v>2900</c:v>
                </c:pt>
                <c:pt idx="9">
                  <c:v>849</c:v>
                </c:pt>
                <c:pt idx="10">
                  <c:v>1950</c:v>
                </c:pt>
                <c:pt idx="11">
                  <c:v>549</c:v>
                </c:pt>
                <c:pt idx="12">
                  <c:v>1248</c:v>
                </c:pt>
              </c:numCache>
            </c:numRef>
          </c:val>
          <c:extLst>
            <c:ext xmlns:c16="http://schemas.microsoft.com/office/drawing/2014/chart" uri="{C3380CC4-5D6E-409C-BE32-E72D297353CC}">
              <c16:uniqueId val="{00000000-09A2-4B36-82C4-D5D6445CAD20}"/>
            </c:ext>
          </c:extLst>
        </c:ser>
        <c:dLbls>
          <c:showLegendKey val="0"/>
          <c:showVal val="1"/>
          <c:showCatName val="0"/>
          <c:showSerName val="0"/>
          <c:showPercent val="0"/>
          <c:showBubbleSize val="0"/>
        </c:dLbls>
        <c:gapWidth val="150"/>
        <c:shape val="box"/>
        <c:axId val="1923363151"/>
        <c:axId val="1775398799"/>
        <c:axId val="0"/>
      </c:bar3DChart>
      <c:catAx>
        <c:axId val="19233631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5398799"/>
        <c:crosses val="autoZero"/>
        <c:auto val="1"/>
        <c:lblAlgn val="ctr"/>
        <c:lblOffset val="100"/>
        <c:noMultiLvlLbl val="0"/>
      </c:catAx>
      <c:valAx>
        <c:axId val="1775398799"/>
        <c:scaling>
          <c:orientation val="minMax"/>
        </c:scaling>
        <c:delete val="0"/>
        <c:axPos val="l"/>
        <c:majorGridlines>
          <c:spPr>
            <a:ln w="9525" cap="flat" cmpd="sng" algn="ctr">
              <a:solidFill>
                <a:schemeClr val="tx1">
                  <a:lumMod val="15000"/>
                  <a:lumOff val="85000"/>
                </a:schemeClr>
              </a:solidFill>
              <a:round/>
            </a:ln>
            <a:effectLst/>
          </c:spPr>
        </c:majorGridlines>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3363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5" Type="http://schemas.openxmlformats.org/officeDocument/2006/relationships/chart" Target="../charts/chart13.xml"/><Relationship Id="rId4"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chart" Target="../charts/chart20.xml"/><Relationship Id="rId5" Type="http://schemas.openxmlformats.org/officeDocument/2006/relationships/chart" Target="../charts/chart19.xml"/><Relationship Id="rId4"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5</xdr:col>
      <xdr:colOff>59871</xdr:colOff>
      <xdr:row>26</xdr:row>
      <xdr:rowOff>97970</xdr:rowOff>
    </xdr:from>
    <xdr:to>
      <xdr:col>10</xdr:col>
      <xdr:colOff>272143</xdr:colOff>
      <xdr:row>38</xdr:row>
      <xdr:rowOff>27214</xdr:rowOff>
    </xdr:to>
    <xdr:graphicFrame macro="">
      <xdr:nvGraphicFramePr>
        <xdr:cNvPr id="3" name="Chart 2">
          <a:extLst>
            <a:ext uri="{FF2B5EF4-FFF2-40B4-BE49-F238E27FC236}">
              <a16:creationId xmlns:a16="http://schemas.microsoft.com/office/drawing/2014/main" id="{C73AFBC5-ABC2-51FB-A5BD-BD13F62BA4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451757</xdr:colOff>
      <xdr:row>127</xdr:row>
      <xdr:rowOff>70756</xdr:rowOff>
    </xdr:from>
    <xdr:to>
      <xdr:col>12</xdr:col>
      <xdr:colOff>206829</xdr:colOff>
      <xdr:row>142</xdr:row>
      <xdr:rowOff>38099</xdr:rowOff>
    </xdr:to>
    <xdr:graphicFrame macro="">
      <xdr:nvGraphicFramePr>
        <xdr:cNvPr id="4" name="Chart 3">
          <a:extLst>
            <a:ext uri="{FF2B5EF4-FFF2-40B4-BE49-F238E27FC236}">
              <a16:creationId xmlns:a16="http://schemas.microsoft.com/office/drawing/2014/main" id="{39CB451F-A029-6A4C-7AE1-B67DF91961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370114</xdr:colOff>
      <xdr:row>144</xdr:row>
      <xdr:rowOff>174172</xdr:rowOff>
    </xdr:from>
    <xdr:to>
      <xdr:col>9</xdr:col>
      <xdr:colOff>146957</xdr:colOff>
      <xdr:row>159</xdr:row>
      <xdr:rowOff>141515</xdr:rowOff>
    </xdr:to>
    <xdr:graphicFrame macro="">
      <xdr:nvGraphicFramePr>
        <xdr:cNvPr id="5" name="Chart 4">
          <a:extLst>
            <a:ext uri="{FF2B5EF4-FFF2-40B4-BE49-F238E27FC236}">
              <a16:creationId xmlns:a16="http://schemas.microsoft.com/office/drawing/2014/main" id="{1572B927-8DBC-A422-577B-7232A10D2B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353785</xdr:colOff>
      <xdr:row>161</xdr:row>
      <xdr:rowOff>65331</xdr:rowOff>
    </xdr:from>
    <xdr:to>
      <xdr:col>7</xdr:col>
      <xdr:colOff>527957</xdr:colOff>
      <xdr:row>176</xdr:row>
      <xdr:rowOff>32674</xdr:rowOff>
    </xdr:to>
    <xdr:graphicFrame macro="">
      <xdr:nvGraphicFramePr>
        <xdr:cNvPr id="6" name="Chart 5">
          <a:extLst>
            <a:ext uri="{FF2B5EF4-FFF2-40B4-BE49-F238E27FC236}">
              <a16:creationId xmlns:a16="http://schemas.microsoft.com/office/drawing/2014/main" id="{E2778941-0181-591C-E5C4-3EEE278E18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669471</xdr:colOff>
      <xdr:row>178</xdr:row>
      <xdr:rowOff>70757</xdr:rowOff>
    </xdr:from>
    <xdr:to>
      <xdr:col>7</xdr:col>
      <xdr:colOff>843643</xdr:colOff>
      <xdr:row>193</xdr:row>
      <xdr:rowOff>38099</xdr:rowOff>
    </xdr:to>
    <xdr:graphicFrame macro="">
      <xdr:nvGraphicFramePr>
        <xdr:cNvPr id="8" name="Chart 7">
          <a:extLst>
            <a:ext uri="{FF2B5EF4-FFF2-40B4-BE49-F238E27FC236}">
              <a16:creationId xmlns:a16="http://schemas.microsoft.com/office/drawing/2014/main" id="{769E9EBB-6591-87E8-C44C-DB6E5FD9C4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636808</xdr:colOff>
      <xdr:row>199</xdr:row>
      <xdr:rowOff>5442</xdr:rowOff>
    </xdr:from>
    <xdr:to>
      <xdr:col>6</xdr:col>
      <xdr:colOff>810980</xdr:colOff>
      <xdr:row>213</xdr:row>
      <xdr:rowOff>157842</xdr:rowOff>
    </xdr:to>
    <xdr:graphicFrame macro="">
      <xdr:nvGraphicFramePr>
        <xdr:cNvPr id="11" name="Chart 10">
          <a:extLst>
            <a:ext uri="{FF2B5EF4-FFF2-40B4-BE49-F238E27FC236}">
              <a16:creationId xmlns:a16="http://schemas.microsoft.com/office/drawing/2014/main" id="{1D7D1FEC-D97B-2525-739B-FB7D0F2AE4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408210</xdr:colOff>
      <xdr:row>216</xdr:row>
      <xdr:rowOff>114301</xdr:rowOff>
    </xdr:from>
    <xdr:to>
      <xdr:col>6</xdr:col>
      <xdr:colOff>582382</xdr:colOff>
      <xdr:row>231</xdr:row>
      <xdr:rowOff>81644</xdr:rowOff>
    </xdr:to>
    <xdr:graphicFrame macro="">
      <xdr:nvGraphicFramePr>
        <xdr:cNvPr id="13" name="Chart 12">
          <a:extLst>
            <a:ext uri="{FF2B5EF4-FFF2-40B4-BE49-F238E27FC236}">
              <a16:creationId xmlns:a16="http://schemas.microsoft.com/office/drawing/2014/main" id="{C291D9FA-1673-6CAB-E40F-E1E414E214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76199</xdr:colOff>
      <xdr:row>10</xdr:row>
      <xdr:rowOff>87086</xdr:rowOff>
    </xdr:from>
    <xdr:to>
      <xdr:col>24</xdr:col>
      <xdr:colOff>152399</xdr:colOff>
      <xdr:row>25</xdr:row>
      <xdr:rowOff>54428</xdr:rowOff>
    </xdr:to>
    <xdr:graphicFrame macro="">
      <xdr:nvGraphicFramePr>
        <xdr:cNvPr id="15" name="Chart 14">
          <a:extLst>
            <a:ext uri="{FF2B5EF4-FFF2-40B4-BE49-F238E27FC236}">
              <a16:creationId xmlns:a16="http://schemas.microsoft.com/office/drawing/2014/main" id="{72287596-96C9-8EE7-14C3-5D6C789978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419100</xdr:colOff>
      <xdr:row>11</xdr:row>
      <xdr:rowOff>146957</xdr:rowOff>
    </xdr:from>
    <xdr:to>
      <xdr:col>16</xdr:col>
      <xdr:colOff>517071</xdr:colOff>
      <xdr:row>26</xdr:row>
      <xdr:rowOff>114300</xdr:rowOff>
    </xdr:to>
    <xdr:graphicFrame macro="">
      <xdr:nvGraphicFramePr>
        <xdr:cNvPr id="3" name="Chart 2">
          <a:extLst>
            <a:ext uri="{FF2B5EF4-FFF2-40B4-BE49-F238E27FC236}">
              <a16:creationId xmlns:a16="http://schemas.microsoft.com/office/drawing/2014/main" id="{EB9B4676-6CA0-EC91-EC55-2472516D71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315686</xdr:colOff>
      <xdr:row>29</xdr:row>
      <xdr:rowOff>103414</xdr:rowOff>
    </xdr:from>
    <xdr:to>
      <xdr:col>19</xdr:col>
      <xdr:colOff>576943</xdr:colOff>
      <xdr:row>44</xdr:row>
      <xdr:rowOff>70757</xdr:rowOff>
    </xdr:to>
    <xdr:graphicFrame macro="">
      <xdr:nvGraphicFramePr>
        <xdr:cNvPr id="5" name="Chart 4">
          <a:extLst>
            <a:ext uri="{FF2B5EF4-FFF2-40B4-BE49-F238E27FC236}">
              <a16:creationId xmlns:a16="http://schemas.microsoft.com/office/drawing/2014/main" id="{D046E601-66E5-107A-CDE8-FA89E134AF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198663</xdr:colOff>
      <xdr:row>60</xdr:row>
      <xdr:rowOff>114299</xdr:rowOff>
    </xdr:from>
    <xdr:to>
      <xdr:col>11</xdr:col>
      <xdr:colOff>742949</xdr:colOff>
      <xdr:row>75</xdr:row>
      <xdr:rowOff>81642</xdr:rowOff>
    </xdr:to>
    <xdr:graphicFrame macro="">
      <xdr:nvGraphicFramePr>
        <xdr:cNvPr id="6" name="Chart 5">
          <a:extLst>
            <a:ext uri="{FF2B5EF4-FFF2-40B4-BE49-F238E27FC236}">
              <a16:creationId xmlns:a16="http://schemas.microsoft.com/office/drawing/2014/main" id="{102AB9B4-C29D-9C0C-C47D-56DE1C3CC2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187777</xdr:colOff>
      <xdr:row>76</xdr:row>
      <xdr:rowOff>125184</xdr:rowOff>
    </xdr:from>
    <xdr:to>
      <xdr:col>11</xdr:col>
      <xdr:colOff>732063</xdr:colOff>
      <xdr:row>91</xdr:row>
      <xdr:rowOff>92527</xdr:rowOff>
    </xdr:to>
    <xdr:graphicFrame macro="">
      <xdr:nvGraphicFramePr>
        <xdr:cNvPr id="7" name="Chart 6">
          <a:extLst>
            <a:ext uri="{FF2B5EF4-FFF2-40B4-BE49-F238E27FC236}">
              <a16:creationId xmlns:a16="http://schemas.microsoft.com/office/drawing/2014/main" id="{E09C5179-4C5B-476E-BB0E-B43EA07446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114300</xdr:colOff>
      <xdr:row>0</xdr:row>
      <xdr:rowOff>141514</xdr:rowOff>
    </xdr:from>
    <xdr:to>
      <xdr:col>27</xdr:col>
      <xdr:colOff>239486</xdr:colOff>
      <xdr:row>15</xdr:row>
      <xdr:rowOff>59871</xdr:rowOff>
    </xdr:to>
    <xdr:graphicFrame macro="">
      <xdr:nvGraphicFramePr>
        <xdr:cNvPr id="9" name="Chart 8">
          <a:extLst>
            <a:ext uri="{FF2B5EF4-FFF2-40B4-BE49-F238E27FC236}">
              <a16:creationId xmlns:a16="http://schemas.microsoft.com/office/drawing/2014/main" id="{7AD85466-47A0-4DF4-23B1-62D3ECCD96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391886</xdr:colOff>
      <xdr:row>16</xdr:row>
      <xdr:rowOff>65315</xdr:rowOff>
    </xdr:from>
    <xdr:to>
      <xdr:col>23</xdr:col>
      <xdr:colOff>185057</xdr:colOff>
      <xdr:row>30</xdr:row>
      <xdr:rowOff>121094</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18BCA782-B7A5-DB15-43B4-E8D57B04E0E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3596257" y="3140529"/>
              <a:ext cx="1828800" cy="26465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484414</xdr:colOff>
      <xdr:row>16</xdr:row>
      <xdr:rowOff>136071</xdr:rowOff>
    </xdr:from>
    <xdr:to>
      <xdr:col>26</xdr:col>
      <xdr:colOff>353785</xdr:colOff>
      <xdr:row>31</xdr:row>
      <xdr:rowOff>6793</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2A23569D-E8A7-2BBE-E3C2-0F3C7B117D4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724414" y="3211285"/>
              <a:ext cx="1828800" cy="26465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239486</xdr:colOff>
      <xdr:row>4</xdr:row>
      <xdr:rowOff>152400</xdr:rowOff>
    </xdr:from>
    <xdr:to>
      <xdr:col>11</xdr:col>
      <xdr:colOff>451758</xdr:colOff>
      <xdr:row>17</xdr:row>
      <xdr:rowOff>54429</xdr:rowOff>
    </xdr:to>
    <xdr:sp macro="" textlink="">
      <xdr:nvSpPr>
        <xdr:cNvPr id="2" name="Rectangle: Rounded Corners 1">
          <a:extLst>
            <a:ext uri="{FF2B5EF4-FFF2-40B4-BE49-F238E27FC236}">
              <a16:creationId xmlns:a16="http://schemas.microsoft.com/office/drawing/2014/main" id="{2A437F18-E595-33DA-383D-76A49F23129B}"/>
            </a:ext>
          </a:extLst>
        </xdr:cNvPr>
        <xdr:cNvSpPr/>
      </xdr:nvSpPr>
      <xdr:spPr>
        <a:xfrm>
          <a:off x="2852057" y="892629"/>
          <a:ext cx="4784272" cy="230777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228600</xdr:colOff>
      <xdr:row>6</xdr:row>
      <xdr:rowOff>103414</xdr:rowOff>
    </xdr:from>
    <xdr:to>
      <xdr:col>10</xdr:col>
      <xdr:colOff>468085</xdr:colOff>
      <xdr:row>14</xdr:row>
      <xdr:rowOff>152400</xdr:rowOff>
    </xdr:to>
    <xdr:sp macro="" textlink="'12.09.2026 Part3'!AE6">
      <xdr:nvSpPr>
        <xdr:cNvPr id="3" name="TextBox 2">
          <a:extLst>
            <a:ext uri="{FF2B5EF4-FFF2-40B4-BE49-F238E27FC236}">
              <a16:creationId xmlns:a16="http://schemas.microsoft.com/office/drawing/2014/main" id="{5F601D35-DF3F-302F-895A-2AFCA948C6E9}"/>
            </a:ext>
          </a:extLst>
        </xdr:cNvPr>
        <xdr:cNvSpPr txBox="1"/>
      </xdr:nvSpPr>
      <xdr:spPr>
        <a:xfrm>
          <a:off x="3494314" y="1213757"/>
          <a:ext cx="3505200" cy="15294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AD549D3-C044-42C3-BF9F-55F81AE8DC0E}" type="TxLink">
            <a:rPr lang="en-US" sz="4800" b="0" i="0" u="none" strike="noStrike">
              <a:solidFill>
                <a:srgbClr val="FF0000"/>
              </a:solidFill>
              <a:latin typeface="Aptos Narrow"/>
            </a:rPr>
            <a:pPr algn="ctr"/>
            <a:t>10755000</a:t>
          </a:fld>
          <a:endParaRPr lang="en-US" sz="4800">
            <a:solidFill>
              <a:srgbClr val="FF0000"/>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653123</xdr:colOff>
      <xdr:row>10</xdr:row>
      <xdr:rowOff>70757</xdr:rowOff>
    </xdr:from>
    <xdr:to>
      <xdr:col>7</xdr:col>
      <xdr:colOff>397309</xdr:colOff>
      <xdr:row>25</xdr:row>
      <xdr:rowOff>38099</xdr:rowOff>
    </xdr:to>
    <xdr:graphicFrame macro="">
      <xdr:nvGraphicFramePr>
        <xdr:cNvPr id="2" name="Chart 1">
          <a:extLst>
            <a:ext uri="{FF2B5EF4-FFF2-40B4-BE49-F238E27FC236}">
              <a16:creationId xmlns:a16="http://schemas.microsoft.com/office/drawing/2014/main" id="{9748E7B8-F12D-FCA8-5655-EFBB22FFC2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527957</xdr:colOff>
      <xdr:row>17</xdr:row>
      <xdr:rowOff>102809</xdr:rowOff>
    </xdr:to>
    <xdr:pic>
      <xdr:nvPicPr>
        <xdr:cNvPr id="2" name="Picture 1">
          <a:extLst>
            <a:ext uri="{FF2B5EF4-FFF2-40B4-BE49-F238E27FC236}">
              <a16:creationId xmlns:a16="http://schemas.microsoft.com/office/drawing/2014/main" id="{E8712050-1647-7FC0-8FAF-E8BFAD45C70C}"/>
            </a:ext>
          </a:extLst>
        </xdr:cNvPr>
        <xdr:cNvPicPr>
          <a:picLocks noChangeAspect="1"/>
        </xdr:cNvPicPr>
      </xdr:nvPicPr>
      <xdr:blipFill>
        <a:blip xmlns:r="http://schemas.openxmlformats.org/officeDocument/2006/relationships" r:embed="rId1"/>
        <a:stretch>
          <a:fillRect/>
        </a:stretch>
      </xdr:blipFill>
      <xdr:spPr>
        <a:xfrm>
          <a:off x="653143" y="185057"/>
          <a:ext cx="3793671" cy="306372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13</xdr:col>
      <xdr:colOff>38099</xdr:colOff>
      <xdr:row>18</xdr:row>
      <xdr:rowOff>119742</xdr:rowOff>
    </xdr:from>
    <xdr:to>
      <xdr:col>18</xdr:col>
      <xdr:colOff>495299</xdr:colOff>
      <xdr:row>33</xdr:row>
      <xdr:rowOff>87085</xdr:rowOff>
    </xdr:to>
    <xdr:graphicFrame macro="">
      <xdr:nvGraphicFramePr>
        <xdr:cNvPr id="4" name="Chart 3">
          <a:extLst>
            <a:ext uri="{FF2B5EF4-FFF2-40B4-BE49-F238E27FC236}">
              <a16:creationId xmlns:a16="http://schemas.microsoft.com/office/drawing/2014/main" id="{9869D66B-EED0-BC25-0E7D-D0C0D8591A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59872</xdr:colOff>
      <xdr:row>20</xdr:row>
      <xdr:rowOff>114299</xdr:rowOff>
    </xdr:from>
    <xdr:to>
      <xdr:col>23</xdr:col>
      <xdr:colOff>0</xdr:colOff>
      <xdr:row>35</xdr:row>
      <xdr:rowOff>81642</xdr:rowOff>
    </xdr:to>
    <xdr:graphicFrame macro="">
      <xdr:nvGraphicFramePr>
        <xdr:cNvPr id="8" name="Chart 7">
          <a:extLst>
            <a:ext uri="{FF2B5EF4-FFF2-40B4-BE49-F238E27FC236}">
              <a16:creationId xmlns:a16="http://schemas.microsoft.com/office/drawing/2014/main" id="{8BC4B9D1-C35A-94AD-4A79-AF727A17D8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70757</xdr:colOff>
      <xdr:row>13</xdr:row>
      <xdr:rowOff>152399</xdr:rowOff>
    </xdr:from>
    <xdr:to>
      <xdr:col>27</xdr:col>
      <xdr:colOff>664028</xdr:colOff>
      <xdr:row>28</xdr:row>
      <xdr:rowOff>119742</xdr:rowOff>
    </xdr:to>
    <xdr:graphicFrame macro="">
      <xdr:nvGraphicFramePr>
        <xdr:cNvPr id="15" name="Chart 14">
          <a:extLst>
            <a:ext uri="{FF2B5EF4-FFF2-40B4-BE49-F238E27FC236}">
              <a16:creationId xmlns:a16="http://schemas.microsoft.com/office/drawing/2014/main" id="{E885272D-C9E4-9920-B681-CA0771E5E9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908957</xdr:colOff>
      <xdr:row>19</xdr:row>
      <xdr:rowOff>97971</xdr:rowOff>
    </xdr:from>
    <xdr:to>
      <xdr:col>32</xdr:col>
      <xdr:colOff>174172</xdr:colOff>
      <xdr:row>34</xdr:row>
      <xdr:rowOff>65314</xdr:rowOff>
    </xdr:to>
    <xdr:graphicFrame macro="">
      <xdr:nvGraphicFramePr>
        <xdr:cNvPr id="17" name="Chart 16">
          <a:extLst>
            <a:ext uri="{FF2B5EF4-FFF2-40B4-BE49-F238E27FC236}">
              <a16:creationId xmlns:a16="http://schemas.microsoft.com/office/drawing/2014/main" id="{E4283D3B-873C-BF56-C4C2-CBD84D5F59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32</xdr:col>
      <xdr:colOff>737507</xdr:colOff>
      <xdr:row>25</xdr:row>
      <xdr:rowOff>92527</xdr:rowOff>
    </xdr:from>
    <xdr:to>
      <xdr:col>39</xdr:col>
      <xdr:colOff>258535</xdr:colOff>
      <xdr:row>40</xdr:row>
      <xdr:rowOff>59870</xdr:rowOff>
    </xdr:to>
    <xdr:graphicFrame macro="">
      <xdr:nvGraphicFramePr>
        <xdr:cNvPr id="19" name="Chart 18">
          <a:extLst>
            <a:ext uri="{FF2B5EF4-FFF2-40B4-BE49-F238E27FC236}">
              <a16:creationId xmlns:a16="http://schemas.microsoft.com/office/drawing/2014/main" id="{6C0A307F-C478-78D5-DCD1-408406E817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39</xdr:col>
      <xdr:colOff>549727</xdr:colOff>
      <xdr:row>18</xdr:row>
      <xdr:rowOff>130627</xdr:rowOff>
    </xdr:from>
    <xdr:to>
      <xdr:col>46</xdr:col>
      <xdr:colOff>97971</xdr:colOff>
      <xdr:row>33</xdr:row>
      <xdr:rowOff>97970</xdr:rowOff>
    </xdr:to>
    <xdr:graphicFrame macro="">
      <xdr:nvGraphicFramePr>
        <xdr:cNvPr id="22" name="Chart 21">
          <a:extLst>
            <a:ext uri="{FF2B5EF4-FFF2-40B4-BE49-F238E27FC236}">
              <a16:creationId xmlns:a16="http://schemas.microsoft.com/office/drawing/2014/main" id="{CF186068-DF0E-3CAD-3E79-809F4805C7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utrik Saha" refreshedDate="46277.688794907408" createdVersion="8" refreshedVersion="8" minRefreshableVersion="3" recordCount="20" xr:uid="{75F51607-322D-4FF8-A4E9-12C55850D9EA}">
  <cacheSource type="worksheet">
    <worksheetSource ref="A1:I21" sheet="12.09.2026 Part1"/>
  </cacheSource>
  <cacheFields count="11">
    <cacheField name="Order_ID" numFmtId="0">
      <sharedItems containsSemiMixedTypes="0" containsString="0" containsNumber="1" containsInteger="1" minValue="1001" maxValue="1020"/>
    </cacheField>
    <cacheField name="Date" numFmtId="15">
      <sharedItems containsSemiMixedTypes="0" containsNonDate="0" containsDate="1" containsString="0" minDate="2026-01-01T00:00:00" maxDate="2026-03-01T00:00:00" count="20">
        <d v="2026-01-01T00:00:00"/>
        <d v="2026-01-03T00:00:00"/>
        <d v="2026-01-05T00:00:00"/>
        <d v="2026-01-08T00:00:00"/>
        <d v="2026-01-12T00:00:00"/>
        <d v="2026-01-15T00:00:00"/>
        <d v="2026-01-18T00:00:00"/>
        <d v="2026-01-22T00:00:00"/>
        <d v="2026-01-25T00:00:00"/>
        <d v="2026-01-28T00:00:00"/>
        <d v="2026-02-02T00:00:00"/>
        <d v="2026-02-05T00:00:00"/>
        <d v="2026-02-09T00:00:00"/>
        <d v="2026-02-12T00:00:00"/>
        <d v="2026-02-15T00:00:00"/>
        <d v="2026-02-18T00:00:00"/>
        <d v="2026-02-21T00:00:00"/>
        <d v="2026-02-24T00:00:00"/>
        <d v="2026-02-26T00:00:00"/>
        <d v="2026-02-28T00:00:00"/>
      </sharedItems>
      <fieldGroup par="10"/>
    </cacheField>
    <cacheField name="Region" numFmtId="0">
      <sharedItems count="4">
        <s v="North"/>
        <s v="South"/>
        <s v="East"/>
        <s v="West"/>
      </sharedItems>
    </cacheField>
    <cacheField name="Salesperson" numFmtId="0">
      <sharedItems count="4">
        <s v="Amit"/>
        <s v="Priya"/>
        <s v="Rahul"/>
        <s v="Neha"/>
      </sharedItems>
    </cacheField>
    <cacheField name="Category" numFmtId="0">
      <sharedItems count="3">
        <s v="Electronics"/>
        <s v="Furniture"/>
        <s v="Stationery"/>
      </sharedItems>
    </cacheField>
    <cacheField name="Product" numFmtId="0">
      <sharedItems/>
    </cacheField>
    <cacheField name="Quantity" numFmtId="0">
      <sharedItems containsSemiMixedTypes="0" containsString="0" containsNumber="1" containsInteger="1" minValue="2" maxValue="30"/>
    </cacheField>
    <cacheField name="Unit_Price" numFmtId="0">
      <sharedItems containsSemiMixedTypes="0" containsString="0" containsNumber="1" containsInteger="1" minValue="300" maxValue="55000"/>
    </cacheField>
    <cacheField name="Sales" numFmtId="0">
      <sharedItems containsSemiMixedTypes="0" containsString="0" containsNumber="1" containsInteger="1" minValue="6000" maxValue="250000"/>
    </cacheField>
    <cacheField name="Days (Date)" numFmtId="0" databaseField="0">
      <fieldGroup base="1">
        <rangePr groupBy="days" startDate="2026-01-01T00:00:00" endDate="2026-03-01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3-2026"/>
        </groupItems>
      </fieldGroup>
    </cacheField>
    <cacheField name="Months (Date)" numFmtId="0" databaseField="0">
      <fieldGroup base="1">
        <rangePr groupBy="months" startDate="2026-01-01T00:00:00" endDate="2026-03-01T00:00:00"/>
        <groupItems count="14">
          <s v="&lt;01-01-2026"/>
          <s v="Jan"/>
          <s v="Feb"/>
          <s v="Mar"/>
          <s v="Apr"/>
          <s v="May"/>
          <s v="Jun"/>
          <s v="Jul"/>
          <s v="Aug"/>
          <s v="Sep"/>
          <s v="Oct"/>
          <s v="Nov"/>
          <s v="Dec"/>
          <s v="&gt;01-03-2026"/>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utrik Saha" refreshedDate="46277.704352083332" createdVersion="8" refreshedVersion="8" minRefreshableVersion="3" recordCount="50" xr:uid="{FFAEE95A-DA67-4798-BF29-BBFB1B2625F4}">
  <cacheSource type="worksheet">
    <worksheetSource ref="A1:O51" sheet="12.09.2026 Part2"/>
  </cacheSource>
  <cacheFields count="15">
    <cacheField name="Customer_ID" numFmtId="0">
      <sharedItems/>
    </cacheField>
    <cacheField name="Customer_Name" numFmtId="0">
      <sharedItems/>
    </cacheField>
    <cacheField name="City" numFmtId="0">
      <sharedItems count="14">
        <s v="Delhi"/>
        <s v="Mumbai"/>
        <s v="Noida"/>
        <s v="Gurgaon"/>
        <s v="Pune"/>
        <s v="Jaipur"/>
        <s v="Ahmedabad"/>
        <s v="Bangalore"/>
        <s v="Chandigarh"/>
        <s v="Lucknow"/>
        <s v="Chennai"/>
        <s v="Hyderabad"/>
        <s v="Kochi"/>
        <s v="Kolkata"/>
      </sharedItems>
    </cacheField>
    <cacheField name="Age" numFmtId="0">
      <sharedItems containsSemiMixedTypes="0" containsString="0" containsNumber="1" containsInteger="1" minValue="23" maxValue="55"/>
    </cacheField>
    <cacheField name="Gender" numFmtId="0">
      <sharedItems count="2">
        <s v="Male"/>
        <s v="Female"/>
      </sharedItems>
    </cacheField>
    <cacheField name="Product_Category" numFmtId="0">
      <sharedItems/>
    </cacheField>
    <cacheField name="Product" numFmtId="0">
      <sharedItems count="48">
        <s v="Laptop"/>
        <s v="Dress"/>
        <s v="Chair"/>
        <s v="Headphones"/>
        <s v="Mobile"/>
        <s v="Skincare Kit"/>
        <s v="Rice Bag"/>
        <s v="Saree"/>
        <s v="Tablet"/>
        <s v="Mixer"/>
        <s v="Monitor"/>
        <s v="Shoes"/>
        <s v="Table"/>
        <s v="Perfume"/>
        <s v="Refrigerator"/>
        <s v="Coffee"/>
        <s v="Sofa"/>
        <s v="Handbag"/>
        <s v="TV"/>
        <s v="Cookware"/>
        <s v="Keyboard"/>
        <s v="Jeans"/>
        <s v="Bed"/>
        <s v="Makeup Kit"/>
        <s v="Smartwatch"/>
        <s v="Dry Fruits"/>
        <s v="AC"/>
        <s v="Jacket"/>
        <s v="Wardrobe"/>
        <s v="Face Cream"/>
        <s v="Printer"/>
        <s v="Top"/>
        <s v="Oil"/>
        <s v="Air Fryer"/>
        <s v="Washing Machine"/>
        <s v="Watch"/>
        <s v="Dining Table"/>
        <s v="Lipstick"/>
        <s v="Camera"/>
        <s v="Tea"/>
        <s v="Earbuds"/>
        <s v="Office Chair"/>
        <s v="Kurti"/>
        <s v="Vacuum Cleaner"/>
        <s v="Speaker"/>
        <s v="Sandal"/>
        <s v="Bookshelf"/>
        <s v="Shampoo"/>
      </sharedItems>
    </cacheField>
    <cacheField name="Price" numFmtId="0">
      <sharedItems containsSemiMixedTypes="0" containsString="0" containsNumber="1" containsInteger="1" minValue="650" maxValue="62000"/>
    </cacheField>
    <cacheField name="Quantity" numFmtId="0">
      <sharedItems containsSemiMixedTypes="0" containsString="0" containsNumber="1" containsInteger="1" minValue="1" maxValue="6"/>
    </cacheField>
    <cacheField name="Order_Date" numFmtId="14">
      <sharedItems containsSemiMixedTypes="0" containsNonDate="0" containsDate="1" containsString="0" minDate="2026-01-05T00:00:00" maxDate="2026-05-01T00:00:00"/>
    </cacheField>
    <cacheField name="Payment_Mode" numFmtId="0">
      <sharedItems count="4">
        <s v="UPI"/>
        <s v="Credit Card"/>
        <s v="Net Banking"/>
        <s v="Cash"/>
      </sharedItems>
    </cacheField>
    <cacheField name="Loan_Amount" numFmtId="0">
      <sharedItems containsSemiMixedTypes="0" containsString="0" containsNumber="1" containsInteger="1" minValue="60000" maxValue="800000"/>
    </cacheField>
    <cacheField name="Loan_Tenure" numFmtId="0">
      <sharedItems containsSemiMixedTypes="0" containsString="0" containsNumber="1" containsInteger="1" minValue="2" maxValue="10"/>
    </cacheField>
    <cacheField name="Interest_Rate" numFmtId="0">
      <sharedItems containsSemiMixedTypes="0" containsString="0" containsNumber="1" minValue="8.1999999999999993" maxValue="12.8"/>
    </cacheField>
    <cacheField name="Loan_Status" numFmtId="0">
      <sharedItems count="2">
        <s v="Approved"/>
        <s v="Rejected"/>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utrik Saha" refreshedDate="46277.746070717592" createdVersion="8" refreshedVersion="8" minRefreshableVersion="3" recordCount="5" xr:uid="{F75E6171-2623-487D-B4E5-7B37F494775B}">
  <cacheSource type="worksheet">
    <worksheetSource ref="A31:B36" sheet="12.09.2026 Part1"/>
  </cacheSource>
  <cacheFields count="2">
    <cacheField name="ITEMS" numFmtId="0">
      <sharedItems count="5">
        <s v="FOOD"/>
        <s v="MEDICINE"/>
        <s v="RENT"/>
        <s v="GROCERIES"/>
        <s v="TRAVEL"/>
      </sharedItems>
    </cacheField>
    <cacheField name="SALARY" numFmtId="0">
      <sharedItems containsSemiMixedTypes="0" containsString="0" containsNumber="1" containsInteger="1" minValue="10" maxValue="3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utrik Saha" refreshedDate="46277.774271064816" createdVersion="8" refreshedVersion="8" minRefreshableVersion="3" recordCount="49" xr:uid="{A7265347-7406-48B3-80E6-6D538C834C0E}">
  <cacheSource type="worksheet">
    <worksheetSource ref="Q2:R51" sheet="12.09.2026 Part2"/>
  </cacheSource>
  <cacheFields count="2">
    <cacheField name="AGE GROUP" numFmtId="0">
      <sharedItems count="2">
        <s v="ADULT"/>
        <s v="SENIOUR"/>
      </sharedItems>
    </cacheField>
    <cacheField name="Loan_Amount" numFmtId="0">
      <sharedItems containsSemiMixedTypes="0" containsString="0" containsNumber="1" containsInteger="1" minValue="60000" maxValue="800000"/>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utrik Saha" refreshedDate="46277.78758773148" createdVersion="8" refreshedVersion="8" minRefreshableVersion="3" recordCount="48" xr:uid="{A56C977D-06EC-4819-B26D-D66B22A5A10D}">
  <cacheSource type="worksheet">
    <worksheetSource ref="A1:I49" sheet="12.09.2026 Part3"/>
  </cacheSource>
  <cacheFields count="9">
    <cacheField name="Month" numFmtId="0">
      <sharedItems/>
    </cacheField>
    <cacheField name="Year" numFmtId="0">
      <sharedItems containsSemiMixedTypes="0" containsString="0" containsNumber="1" containsInteger="1" minValue="2018" maxValue="2026" count="8">
        <n v="2018"/>
        <n v="2019"/>
        <n v="2020"/>
        <n v="2021"/>
        <n v="2022"/>
        <n v="2024"/>
        <n v="2025"/>
        <n v="2026"/>
      </sharedItems>
    </cacheField>
    <cacheField name="Employee" numFmtId="0">
      <sharedItems/>
    </cacheField>
    <cacheField name="Product" numFmtId="0">
      <sharedItems/>
    </cacheField>
    <cacheField name="Category" numFmtId="0">
      <sharedItems count="2">
        <s v="Electronics"/>
        <s v="Accessories"/>
      </sharedItems>
    </cacheField>
    <cacheField name="Region" numFmtId="0">
      <sharedItems count="4">
        <s v="North"/>
        <s v="South"/>
        <s v="West"/>
        <s v="East"/>
      </sharedItems>
    </cacheField>
    <cacheField name="Quantity" numFmtId="0">
      <sharedItems containsSemiMixedTypes="0" containsString="0" containsNumber="1" containsInteger="1" minValue="4" maxValue="45" count="28">
        <n v="5"/>
        <n v="12"/>
        <n v="20"/>
        <n v="8"/>
        <n v="7"/>
        <n v="15"/>
        <n v="25"/>
        <n v="10"/>
        <n v="18"/>
        <n v="6"/>
        <n v="30"/>
        <n v="9"/>
        <n v="35"/>
        <n v="14"/>
        <n v="4"/>
        <n v="22"/>
        <n v="28"/>
        <n v="11"/>
        <n v="13"/>
        <n v="40"/>
        <n v="19"/>
        <n v="32"/>
        <n v="16"/>
        <n v="21"/>
        <n v="24"/>
        <n v="27"/>
        <n v="17"/>
        <n v="45"/>
      </sharedItems>
    </cacheField>
    <cacheField name="Sales" numFmtId="0">
      <sharedItems containsSemiMixedTypes="0" containsString="0" containsNumber="1" containsInteger="1" minValue="50000" maxValue="450000"/>
    </cacheField>
    <cacheField name="Profit" numFmtId="0">
      <sharedItems containsSemiMixedTypes="0" containsString="0" containsNumber="1" containsInteger="1" minValue="10000" maxValue="75000"/>
    </cacheField>
  </cacheFields>
  <extLst>
    <ext xmlns:x14="http://schemas.microsoft.com/office/spreadsheetml/2009/9/main" uri="{725AE2AE-9491-48be-B2B4-4EB974FC3084}">
      <x14:pivotCacheDefinition pivotCacheId="112173857"/>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utrik Saha" refreshedDate="46278.672954513888" createdVersion="8" refreshedVersion="8" minRefreshableVersion="3" recordCount="20" xr:uid="{BD621CA8-3EFE-4A51-B163-5BE68B8E2549}">
  <cacheSource type="worksheet">
    <worksheetSource ref="A2:M22" sheet="13.09.2026 Part1"/>
  </cacheSource>
  <cacheFields count="15">
    <cacheField name="Order_ID" numFmtId="0">
      <sharedItems/>
    </cacheField>
    <cacheField name="Order_Date" numFmtId="15">
      <sharedItems containsSemiMixedTypes="0" containsNonDate="0" containsDate="1" containsString="0" minDate="2026-01-09T00:00:00" maxDate="2026-12-18T00:00:00" count="13">
        <d v="2026-02-08T00:00:00"/>
        <d v="2026-01-09T00:00:00"/>
        <d v="2026-03-10T00:00:00"/>
        <d v="2026-01-10T00:00:00"/>
        <d v="2026-04-11T00:00:00"/>
        <d v="2026-01-11T00:00:00"/>
        <d v="2026-01-12T00:00:00"/>
        <d v="2026-05-12T00:00:00"/>
        <d v="2026-01-14T00:00:00"/>
        <d v="2026-07-15T00:00:00"/>
        <d v="2026-11-16T00:00:00"/>
        <d v="2026-12-17T00:00:00"/>
        <d v="2026-01-17T00:00:00"/>
      </sharedItems>
      <fieldGroup par="14"/>
    </cacheField>
    <cacheField name="Platform" numFmtId="0">
      <sharedItems/>
    </cacheField>
    <cacheField name="Product" numFmtId="0">
      <sharedItems/>
    </cacheField>
    <cacheField name="Category" numFmtId="0">
      <sharedItems/>
    </cacheField>
    <cacheField name="City" numFmtId="0">
      <sharedItems count="13">
        <s v="Delhi"/>
        <s v="Bangalore"/>
        <s v="Hyderabad"/>
        <s v="Lucknow"/>
        <s v="Jaipur"/>
        <s v="Mumbai"/>
        <s v="Pune"/>
        <s v="Chennai"/>
        <s v="Noida"/>
        <s v="Gurgaon"/>
        <s v="Kolkata"/>
        <s v="Chandigarh"/>
        <s v="Ahmedabad"/>
      </sharedItems>
    </cacheField>
    <cacheField name="Quantity" numFmtId="0">
      <sharedItems containsSemiMixedTypes="0" containsString="0" containsNumber="1" containsInteger="1" minValue="1" maxValue="4"/>
    </cacheField>
    <cacheField name="Selling_Price" numFmtId="167">
      <sharedItems containsSemiMixedTypes="0" containsString="0" containsNumber="1" containsInteger="1" minValue="399" maxValue="3500" count="23">
        <n v="2000"/>
        <n v="2499"/>
        <n v="1999"/>
        <n v="1799"/>
        <n v="3500"/>
        <n v="1900"/>
        <n v="1299"/>
        <n v="2300"/>
        <n v="1099"/>
        <n v="3100"/>
        <n v="3200"/>
        <n v="1199"/>
        <n v="3000"/>
        <n v="1599"/>
        <n v="1000"/>
        <n v="1500"/>
        <n v="399" u="1"/>
        <n v="499" u="1"/>
        <n v="899" u="1"/>
        <n v="799" u="1"/>
        <n v="699" u="1"/>
        <n v="599" u="1"/>
        <n v="999" u="1"/>
      </sharedItems>
    </cacheField>
    <cacheField name="Cost_Price" numFmtId="168">
      <sharedItems containsSemiMixedTypes="0" containsString="0" containsNumber="1" containsInteger="1" minValue="180" maxValue="1500"/>
    </cacheField>
    <cacheField name="Profit" numFmtId="168">
      <sharedItems containsSemiMixedTypes="0" containsString="0" containsNumber="1" containsInteger="1" minValue="500" maxValue="3280"/>
    </cacheField>
    <cacheField name="Discount" numFmtId="9">
      <sharedItems containsSemiMixedTypes="0" containsString="0" containsNumber="1" minValue="0.05" maxValue="0.2" count="4">
        <n v="0.05"/>
        <n v="0.1"/>
        <n v="0.15"/>
        <n v="0.2"/>
      </sharedItems>
    </cacheField>
    <cacheField name="Order_Status" numFmtId="0">
      <sharedItems count="2">
        <s v="Delivered"/>
        <s v="Returned"/>
      </sharedItems>
    </cacheField>
    <cacheField name="Return" numFmtId="0">
      <sharedItems/>
    </cacheField>
    <cacheField name="Days (Order_Date)" numFmtId="0" databaseField="0">
      <fieldGroup base="1">
        <rangePr groupBy="days" startDate="2026-01-09T00:00:00" endDate="2026-12-18T00:00:00"/>
        <groupItems count="368">
          <s v="&lt;09-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8-12-2026"/>
        </groupItems>
      </fieldGroup>
    </cacheField>
    <cacheField name="Months (Order_Date)" numFmtId="0" databaseField="0">
      <fieldGroup base="1">
        <rangePr groupBy="months" startDate="2026-01-09T00:00:00" endDate="2026-12-18T00:00:00"/>
        <groupItems count="14">
          <s v="&lt;09-01-2026"/>
          <s v="Jan"/>
          <s v="Feb"/>
          <s v="Mar"/>
          <s v="Apr"/>
          <s v="May"/>
          <s v="Jun"/>
          <s v="Jul"/>
          <s v="Aug"/>
          <s v="Sep"/>
          <s v="Oct"/>
          <s v="Nov"/>
          <s v="Dec"/>
          <s v="&gt;18-12-2026"/>
        </groupItems>
      </fieldGroup>
    </cacheField>
  </cacheFields>
  <extLst>
    <ext xmlns:x14="http://schemas.microsoft.com/office/spreadsheetml/2009/9/main" uri="{725AE2AE-9491-48be-B2B4-4EB974FC3084}">
      <x14:pivotCacheDefinition pivotCacheId="6844614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1001"/>
    <x v="0"/>
    <x v="0"/>
    <x v="0"/>
    <x v="0"/>
    <s v="Laptop"/>
    <n v="2"/>
    <n v="55000"/>
    <n v="110000"/>
  </r>
  <r>
    <n v="1002"/>
    <x v="1"/>
    <x v="1"/>
    <x v="1"/>
    <x v="1"/>
    <s v="Chair"/>
    <n v="5"/>
    <n v="4000"/>
    <n v="20000"/>
  </r>
  <r>
    <n v="1003"/>
    <x v="2"/>
    <x v="2"/>
    <x v="2"/>
    <x v="0"/>
    <s v="Mobile"/>
    <n v="8"/>
    <n v="25000"/>
    <n v="200000"/>
  </r>
  <r>
    <n v="1004"/>
    <x v="3"/>
    <x v="3"/>
    <x v="3"/>
    <x v="2"/>
    <s v="Printer"/>
    <n v="3"/>
    <n v="12000"/>
    <n v="36000"/>
  </r>
  <r>
    <n v="1005"/>
    <x v="4"/>
    <x v="0"/>
    <x v="0"/>
    <x v="1"/>
    <s v="Table"/>
    <n v="4"/>
    <n v="8000"/>
    <n v="32000"/>
  </r>
  <r>
    <n v="1006"/>
    <x v="5"/>
    <x v="1"/>
    <x v="1"/>
    <x v="0"/>
    <s v="Laptop"/>
    <n v="3"/>
    <n v="55000"/>
    <n v="165000"/>
  </r>
  <r>
    <n v="1007"/>
    <x v="6"/>
    <x v="2"/>
    <x v="2"/>
    <x v="2"/>
    <s v="Printer"/>
    <n v="5"/>
    <n v="12000"/>
    <n v="60000"/>
  </r>
  <r>
    <n v="1008"/>
    <x v="7"/>
    <x v="3"/>
    <x v="3"/>
    <x v="0"/>
    <s v="Mobile"/>
    <n v="10"/>
    <n v="25000"/>
    <n v="250000"/>
  </r>
  <r>
    <n v="1009"/>
    <x v="8"/>
    <x v="0"/>
    <x v="0"/>
    <x v="2"/>
    <s v="Notebook"/>
    <n v="20"/>
    <n v="300"/>
    <n v="6000"/>
  </r>
  <r>
    <n v="1010"/>
    <x v="9"/>
    <x v="1"/>
    <x v="1"/>
    <x v="1"/>
    <s v="Table"/>
    <n v="6"/>
    <n v="8000"/>
    <n v="48000"/>
  </r>
  <r>
    <n v="1011"/>
    <x v="10"/>
    <x v="2"/>
    <x v="2"/>
    <x v="0"/>
    <s v="Laptop"/>
    <n v="2"/>
    <n v="55000"/>
    <n v="110000"/>
  </r>
  <r>
    <n v="1012"/>
    <x v="11"/>
    <x v="3"/>
    <x v="3"/>
    <x v="1"/>
    <s v="Chair"/>
    <n v="8"/>
    <n v="4000"/>
    <n v="32000"/>
  </r>
  <r>
    <n v="1013"/>
    <x v="12"/>
    <x v="0"/>
    <x v="0"/>
    <x v="0"/>
    <s v="Mobile"/>
    <n v="6"/>
    <n v="25000"/>
    <n v="150000"/>
  </r>
  <r>
    <n v="1014"/>
    <x v="13"/>
    <x v="1"/>
    <x v="1"/>
    <x v="2"/>
    <s v="Notebook"/>
    <n v="30"/>
    <n v="300"/>
    <n v="9000"/>
  </r>
  <r>
    <n v="1015"/>
    <x v="14"/>
    <x v="2"/>
    <x v="2"/>
    <x v="1"/>
    <s v="Table"/>
    <n v="5"/>
    <n v="8000"/>
    <n v="40000"/>
  </r>
  <r>
    <n v="1016"/>
    <x v="15"/>
    <x v="3"/>
    <x v="3"/>
    <x v="0"/>
    <s v="Laptop"/>
    <n v="4"/>
    <n v="55000"/>
    <n v="220000"/>
  </r>
  <r>
    <n v="1017"/>
    <x v="16"/>
    <x v="0"/>
    <x v="0"/>
    <x v="1"/>
    <s v="Chair"/>
    <n v="10"/>
    <n v="4000"/>
    <n v="40000"/>
  </r>
  <r>
    <n v="1018"/>
    <x v="17"/>
    <x v="1"/>
    <x v="1"/>
    <x v="0"/>
    <s v="Mobile"/>
    <n v="7"/>
    <n v="25000"/>
    <n v="175000"/>
  </r>
  <r>
    <n v="1019"/>
    <x v="18"/>
    <x v="2"/>
    <x v="2"/>
    <x v="2"/>
    <s v="Printer"/>
    <n v="4"/>
    <n v="12000"/>
    <n v="48000"/>
  </r>
  <r>
    <n v="1020"/>
    <x v="19"/>
    <x v="3"/>
    <x v="3"/>
    <x v="1"/>
    <s v="Table"/>
    <n v="7"/>
    <n v="8000"/>
    <n v="56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C001"/>
    <s v="Rahul Sharma"/>
    <x v="0"/>
    <n v="28"/>
    <x v="0"/>
    <s v="Electronics"/>
    <x v="0"/>
    <n v="55000"/>
    <n v="1"/>
    <d v="2026-01-05T00:00:00"/>
    <x v="0"/>
    <n v="300000"/>
    <n v="5"/>
    <n v="9.5"/>
    <x v="0"/>
  </r>
  <r>
    <s v="C002"/>
    <s v="Priya Verma"/>
    <x v="1"/>
    <n v="32"/>
    <x v="1"/>
    <s v="Fashion"/>
    <x v="1"/>
    <n v="2500"/>
    <n v="2"/>
    <d v="2026-01-07T00:00:00"/>
    <x v="1"/>
    <n v="150000"/>
    <n v="3"/>
    <n v="10.199999999999999"/>
    <x v="0"/>
  </r>
  <r>
    <s v="C003"/>
    <s v="Amit Kumar"/>
    <x v="0"/>
    <n v="41"/>
    <x v="0"/>
    <s v="Furniture"/>
    <x v="2"/>
    <n v="4500"/>
    <n v="4"/>
    <d v="2026-01-10T00:00:00"/>
    <x v="2"/>
    <n v="500000"/>
    <n v="7"/>
    <n v="8.9"/>
    <x v="0"/>
  </r>
  <r>
    <s v="C004"/>
    <s v="Neha Singh"/>
    <x v="2"/>
    <n v="26"/>
    <x v="1"/>
    <s v="Electronics"/>
    <x v="3"/>
    <n v="1800"/>
    <n v="1"/>
    <d v="2026-01-12T00:00:00"/>
    <x v="0"/>
    <n v="100000"/>
    <n v="2"/>
    <n v="11.5"/>
    <x v="1"/>
  </r>
  <r>
    <s v="C005"/>
    <s v="Rohit Gupta"/>
    <x v="3"/>
    <n v="35"/>
    <x v="0"/>
    <s v="Electronics"/>
    <x v="4"/>
    <n v="22000"/>
    <n v="1"/>
    <d v="2026-01-15T00:00:00"/>
    <x v="1"/>
    <n v="250000"/>
    <n v="4"/>
    <n v="9.8000000000000007"/>
    <x v="0"/>
  </r>
  <r>
    <s v="C006"/>
    <s v="Anjali Mehta"/>
    <x v="4"/>
    <n v="29"/>
    <x v="1"/>
    <s v="Beauty"/>
    <x v="5"/>
    <n v="3200"/>
    <n v="3"/>
    <d v="2026-01-18T00:00:00"/>
    <x v="0"/>
    <n v="180000"/>
    <n v="3"/>
    <n v="10.5"/>
    <x v="0"/>
  </r>
  <r>
    <s v="C007"/>
    <s v="Vikas Yadav"/>
    <x v="5"/>
    <n v="45"/>
    <x v="0"/>
    <s v="Grocery"/>
    <x v="6"/>
    <n v="1200"/>
    <n v="5"/>
    <d v="2026-01-20T00:00:00"/>
    <x v="3"/>
    <n v="400000"/>
    <n v="6"/>
    <n v="9.1999999999999993"/>
    <x v="0"/>
  </r>
  <r>
    <s v="C008"/>
    <s v="Pooja Sharma"/>
    <x v="0"/>
    <n v="31"/>
    <x v="1"/>
    <s v="Fashion"/>
    <x v="7"/>
    <n v="3500"/>
    <n v="2"/>
    <d v="2026-01-22T00:00:00"/>
    <x v="0"/>
    <n v="200000"/>
    <n v="4"/>
    <n v="10"/>
    <x v="0"/>
  </r>
  <r>
    <s v="C009"/>
    <s v="Suresh Patel"/>
    <x v="6"/>
    <n v="38"/>
    <x v="0"/>
    <s v="Electronics"/>
    <x v="8"/>
    <n v="18000"/>
    <n v="1"/>
    <d v="2026-01-25T00:00:00"/>
    <x v="2"/>
    <n v="350000"/>
    <n v="5"/>
    <n v="9.6999999999999993"/>
    <x v="0"/>
  </r>
  <r>
    <s v="C010"/>
    <s v="Kavita Rao"/>
    <x v="7"/>
    <n v="27"/>
    <x v="1"/>
    <s v="Home &amp; Kitchen"/>
    <x v="9"/>
    <n v="4500"/>
    <n v="1"/>
    <d v="2026-01-28T00:00:00"/>
    <x v="1"/>
    <n v="120000"/>
    <n v="2"/>
    <n v="11.2"/>
    <x v="1"/>
  </r>
  <r>
    <s v="C011"/>
    <s v="Arjun Malhotra"/>
    <x v="0"/>
    <n v="33"/>
    <x v="0"/>
    <s v="Electronics"/>
    <x v="10"/>
    <n v="15000"/>
    <n v="2"/>
    <d v="2026-02-02T00:00:00"/>
    <x v="0"/>
    <n v="275000"/>
    <n v="5"/>
    <n v="9.6"/>
    <x v="0"/>
  </r>
  <r>
    <s v="C012"/>
    <s v="Simran Kaur"/>
    <x v="8"/>
    <n v="30"/>
    <x v="1"/>
    <s v="Fashion"/>
    <x v="11"/>
    <n v="2800"/>
    <n v="2"/>
    <d v="2026-02-04T00:00:00"/>
    <x v="0"/>
    <n v="160000"/>
    <n v="3"/>
    <n v="10.4"/>
    <x v="0"/>
  </r>
  <r>
    <s v="C013"/>
    <s v="Manish Jain"/>
    <x v="5"/>
    <n v="42"/>
    <x v="0"/>
    <s v="Furniture"/>
    <x v="12"/>
    <n v="12000"/>
    <n v="1"/>
    <d v="2026-02-06T00:00:00"/>
    <x v="2"/>
    <n v="450000"/>
    <n v="7"/>
    <n v="8.8000000000000007"/>
    <x v="0"/>
  </r>
  <r>
    <s v="C014"/>
    <s v="Riya Kapoor"/>
    <x v="0"/>
    <n v="24"/>
    <x v="1"/>
    <s v="Beauty"/>
    <x v="13"/>
    <n v="2200"/>
    <n v="2"/>
    <d v="2026-02-08T00:00:00"/>
    <x v="1"/>
    <n v="80000"/>
    <n v="2"/>
    <n v="12"/>
    <x v="1"/>
  </r>
  <r>
    <s v="C015"/>
    <s v="Deepak Verma"/>
    <x v="9"/>
    <n v="39"/>
    <x v="0"/>
    <s v="Electronics"/>
    <x v="14"/>
    <n v="32000"/>
    <n v="1"/>
    <d v="2026-02-10T00:00:00"/>
    <x v="0"/>
    <n v="300000"/>
    <n v="5"/>
    <n v="9.9"/>
    <x v="0"/>
  </r>
  <r>
    <s v="C016"/>
    <s v="Sneha Iyer"/>
    <x v="10"/>
    <n v="28"/>
    <x v="1"/>
    <s v="Grocery"/>
    <x v="15"/>
    <n v="850"/>
    <n v="4"/>
    <d v="2026-02-12T00:00:00"/>
    <x v="0"/>
    <n v="175000"/>
    <n v="3"/>
    <n v="10.1"/>
    <x v="0"/>
  </r>
  <r>
    <s v="C017"/>
    <s v="Karan Singh"/>
    <x v="2"/>
    <n v="36"/>
    <x v="0"/>
    <s v="Furniture"/>
    <x v="16"/>
    <n v="28000"/>
    <n v="1"/>
    <d v="2026-02-15T00:00:00"/>
    <x v="1"/>
    <n v="550000"/>
    <n v="8"/>
    <n v="8.6999999999999993"/>
    <x v="0"/>
  </r>
  <r>
    <s v="C018"/>
    <s v="Meena Joshi"/>
    <x v="4"/>
    <n v="44"/>
    <x v="1"/>
    <s v="Fashion"/>
    <x v="17"/>
    <n v="4200"/>
    <n v="2"/>
    <d v="2026-02-17T00:00:00"/>
    <x v="2"/>
    <n v="225000"/>
    <n v="5"/>
    <n v="9.8000000000000007"/>
    <x v="0"/>
  </r>
  <r>
    <s v="C019"/>
    <s v="Rajesh Kumar"/>
    <x v="0"/>
    <n v="51"/>
    <x v="0"/>
    <s v="Electronics"/>
    <x v="18"/>
    <n v="45000"/>
    <n v="1"/>
    <d v="2026-02-20T00:00:00"/>
    <x v="0"/>
    <n v="600000"/>
    <n v="10"/>
    <n v="8.5"/>
    <x v="0"/>
  </r>
  <r>
    <s v="C020"/>
    <s v="Divya Shah"/>
    <x v="1"/>
    <n v="25"/>
    <x v="1"/>
    <s v="Home &amp; Kitchen"/>
    <x v="19"/>
    <n v="3800"/>
    <n v="3"/>
    <d v="2026-02-22T00:00:00"/>
    <x v="1"/>
    <n v="90000"/>
    <n v="2"/>
    <n v="11.8"/>
    <x v="1"/>
  </r>
  <r>
    <s v="C021"/>
    <s v="Nitin Arora"/>
    <x v="3"/>
    <n v="34"/>
    <x v="0"/>
    <s v="Electronics"/>
    <x v="20"/>
    <n v="2500"/>
    <n v="2"/>
    <d v="2026-02-25T00:00:00"/>
    <x v="0"/>
    <n v="240000"/>
    <n v="4"/>
    <n v="10"/>
    <x v="0"/>
  </r>
  <r>
    <s v="C022"/>
    <s v="Ayesha Khan"/>
    <x v="11"/>
    <n v="29"/>
    <x v="1"/>
    <s v="Fashion"/>
    <x v="21"/>
    <n v="2200"/>
    <n v="2"/>
    <d v="2026-02-27T00:00:00"/>
    <x v="3"/>
    <n v="130000"/>
    <n v="3"/>
    <n v="10.6"/>
    <x v="0"/>
  </r>
  <r>
    <s v="C023"/>
    <s v="Mohit Agarwal"/>
    <x v="0"/>
    <n v="47"/>
    <x v="0"/>
    <s v="Furniture"/>
    <x v="22"/>
    <n v="35000"/>
    <n v="1"/>
    <d v="2026-03-01T00:00:00"/>
    <x v="2"/>
    <n v="500000"/>
    <n v="7"/>
    <n v="9"/>
    <x v="0"/>
  </r>
  <r>
    <s v="C024"/>
    <s v="Isha Gupta"/>
    <x v="2"/>
    <n v="23"/>
    <x v="1"/>
    <s v="Beauty"/>
    <x v="23"/>
    <n v="2900"/>
    <n v="2"/>
    <d v="2026-03-03T00:00:00"/>
    <x v="0"/>
    <n v="70000"/>
    <n v="2"/>
    <n v="12.5"/>
    <x v="1"/>
  </r>
  <r>
    <s v="C025"/>
    <s v="Varun Bansal"/>
    <x v="5"/>
    <n v="37"/>
    <x v="0"/>
    <s v="Electronics"/>
    <x v="24"/>
    <n v="6500"/>
    <n v="1"/>
    <d v="2026-03-05T00:00:00"/>
    <x v="1"/>
    <n v="280000"/>
    <n v="5"/>
    <n v="9.4"/>
    <x v="0"/>
  </r>
  <r>
    <s v="C026"/>
    <s v="Shweta Nair"/>
    <x v="12"/>
    <n v="33"/>
    <x v="1"/>
    <s v="Grocery"/>
    <x v="25"/>
    <n v="1800"/>
    <n v="3"/>
    <d v="2026-03-07T00:00:00"/>
    <x v="0"/>
    <n v="190000"/>
    <n v="4"/>
    <n v="10.3"/>
    <x v="0"/>
  </r>
  <r>
    <s v="C027"/>
    <s v="Akash Mishra"/>
    <x v="9"/>
    <n v="40"/>
    <x v="0"/>
    <s v="Electronics"/>
    <x v="26"/>
    <n v="42000"/>
    <n v="1"/>
    <d v="2026-03-10T00:00:00"/>
    <x v="2"/>
    <n v="450000"/>
    <n v="7"/>
    <n v="8.9"/>
    <x v="0"/>
  </r>
  <r>
    <s v="C028"/>
    <s v="Tanya Sethi"/>
    <x v="0"/>
    <n v="27"/>
    <x v="1"/>
    <s v="Fashion"/>
    <x v="27"/>
    <n v="3200"/>
    <n v="2"/>
    <d v="2026-03-12T00:00:00"/>
    <x v="0"/>
    <n v="110000"/>
    <n v="2"/>
    <n v="11"/>
    <x v="0"/>
  </r>
  <r>
    <s v="C029"/>
    <s v="Sanjay Rao"/>
    <x v="7"/>
    <n v="46"/>
    <x v="0"/>
    <s v="Furniture"/>
    <x v="28"/>
    <n v="25000"/>
    <n v="1"/>
    <d v="2026-03-15T00:00:00"/>
    <x v="1"/>
    <n v="525000"/>
    <n v="8"/>
    <n v="8.6"/>
    <x v="0"/>
  </r>
  <r>
    <s v="C030"/>
    <s v="Nisha Patel"/>
    <x v="6"/>
    <n v="31"/>
    <x v="1"/>
    <s v="Beauty"/>
    <x v="29"/>
    <n v="950"/>
    <n v="4"/>
    <d v="2026-03-17T00:00:00"/>
    <x v="0"/>
    <n v="145000"/>
    <n v="3"/>
    <n v="10.8"/>
    <x v="0"/>
  </r>
  <r>
    <s v="C031"/>
    <s v="Abhishek Roy"/>
    <x v="13"/>
    <n v="35"/>
    <x v="0"/>
    <s v="Electronics"/>
    <x v="30"/>
    <n v="12500"/>
    <n v="1"/>
    <d v="2026-03-20T00:00:00"/>
    <x v="2"/>
    <n v="260000"/>
    <n v="5"/>
    <n v="9.6999999999999993"/>
    <x v="0"/>
  </r>
  <r>
    <s v="C032"/>
    <s v="Komal Sharma"/>
    <x v="0"/>
    <n v="26"/>
    <x v="1"/>
    <s v="Fashion"/>
    <x v="31"/>
    <n v="1200"/>
    <n v="3"/>
    <d v="2026-03-22T00:00:00"/>
    <x v="0"/>
    <n v="95000"/>
    <n v="2"/>
    <n v="11.4"/>
    <x v="1"/>
  </r>
  <r>
    <s v="C033"/>
    <s v="Ravi Thakur"/>
    <x v="8"/>
    <n v="43"/>
    <x v="0"/>
    <s v="Grocery"/>
    <x v="32"/>
    <n v="1600"/>
    <n v="5"/>
    <d v="2026-03-24T00:00:00"/>
    <x v="3"/>
    <n v="375000"/>
    <n v="6"/>
    <n v="9.1"/>
    <x v="0"/>
  </r>
  <r>
    <s v="C034"/>
    <s v="Preeti Gupta"/>
    <x v="2"/>
    <n v="30"/>
    <x v="1"/>
    <s v="Home &amp; Kitchen"/>
    <x v="33"/>
    <n v="8500"/>
    <n v="1"/>
    <d v="2026-03-26T00:00:00"/>
    <x v="1"/>
    <n v="210000"/>
    <n v="4"/>
    <n v="10"/>
    <x v="0"/>
  </r>
  <r>
    <s v="C035"/>
    <s v="Ajay Kumar"/>
    <x v="0"/>
    <n v="49"/>
    <x v="0"/>
    <s v="Electronics"/>
    <x v="34"/>
    <n v="30000"/>
    <n v="1"/>
    <d v="2026-03-28T00:00:00"/>
    <x v="0"/>
    <n v="650000"/>
    <n v="10"/>
    <n v="8.4"/>
    <x v="0"/>
  </r>
  <r>
    <s v="C036"/>
    <s v="Mansi Jain"/>
    <x v="5"/>
    <n v="28"/>
    <x v="1"/>
    <s v="Fashion"/>
    <x v="35"/>
    <n v="4500"/>
    <n v="1"/>
    <d v="2026-03-30T00:00:00"/>
    <x v="0"/>
    <n v="125000"/>
    <n v="3"/>
    <n v="10.7"/>
    <x v="0"/>
  </r>
  <r>
    <s v="C037"/>
    <s v="Prakash Singh"/>
    <x v="3"/>
    <n v="52"/>
    <x v="0"/>
    <s v="Furniture"/>
    <x v="36"/>
    <n v="32000"/>
    <n v="1"/>
    <d v="2026-04-02T00:00:00"/>
    <x v="2"/>
    <n v="700000"/>
    <n v="10"/>
    <n v="8.3000000000000007"/>
    <x v="0"/>
  </r>
  <r>
    <s v="C038"/>
    <s v="Ritika Das"/>
    <x v="13"/>
    <n v="25"/>
    <x v="1"/>
    <s v="Beauty"/>
    <x v="37"/>
    <n v="750"/>
    <n v="5"/>
    <d v="2026-04-04T00:00:00"/>
    <x v="1"/>
    <n v="60000"/>
    <n v="2"/>
    <n v="12.8"/>
    <x v="1"/>
  </r>
  <r>
    <s v="C039"/>
    <s v="Manoj Yadav"/>
    <x v="9"/>
    <n v="36"/>
    <x v="0"/>
    <s v="Electronics"/>
    <x v="38"/>
    <n v="38000"/>
    <n v="1"/>
    <d v="2026-04-06T00:00:00"/>
    <x v="0"/>
    <n v="325000"/>
    <n v="5"/>
    <n v="9.5"/>
    <x v="0"/>
  </r>
  <r>
    <s v="C040"/>
    <s v="Sakshi Mehta"/>
    <x v="4"/>
    <n v="32"/>
    <x v="1"/>
    <s v="Grocery"/>
    <x v="39"/>
    <n v="650"/>
    <n v="6"/>
    <d v="2026-04-08T00:00:00"/>
    <x v="0"/>
    <n v="155000"/>
    <n v="3"/>
    <n v="10.199999999999999"/>
    <x v="0"/>
  </r>
  <r>
    <s v="C041"/>
    <s v="Varsha Kapoor"/>
    <x v="0"/>
    <n v="29"/>
    <x v="1"/>
    <s v="Electronics"/>
    <x v="40"/>
    <n v="2200"/>
    <n v="2"/>
    <d v="2026-04-10T00:00:00"/>
    <x v="1"/>
    <n v="100000"/>
    <n v="2"/>
    <n v="11.6"/>
    <x v="0"/>
  </r>
  <r>
    <s v="C042"/>
    <s v="Harish Patel"/>
    <x v="6"/>
    <n v="45"/>
    <x v="0"/>
    <s v="Furniture"/>
    <x v="41"/>
    <n v="7500"/>
    <n v="2"/>
    <d v="2026-04-12T00:00:00"/>
    <x v="2"/>
    <n v="420000"/>
    <n v="6"/>
    <n v="9"/>
    <x v="0"/>
  </r>
  <r>
    <s v="C043"/>
    <s v="Neelam Verma"/>
    <x v="2"/>
    <n v="34"/>
    <x v="1"/>
    <s v="Fashion"/>
    <x v="42"/>
    <n v="1800"/>
    <n v="3"/>
    <d v="2026-04-15T00:00:00"/>
    <x v="0"/>
    <n v="140000"/>
    <n v="3"/>
    <n v="10.5"/>
    <x v="0"/>
  </r>
  <r>
    <s v="C044"/>
    <s v="Rakesh Sharma"/>
    <x v="0"/>
    <n v="55"/>
    <x v="0"/>
    <s v="Electronics"/>
    <x v="14"/>
    <n v="35000"/>
    <n v="1"/>
    <d v="2026-04-17T00:00:00"/>
    <x v="3"/>
    <n v="800000"/>
    <n v="10"/>
    <n v="8.1999999999999993"/>
    <x v="0"/>
  </r>
  <r>
    <s v="C045"/>
    <s v="Pallavi Singh"/>
    <x v="1"/>
    <n v="27"/>
    <x v="1"/>
    <s v="Home &amp; Kitchen"/>
    <x v="43"/>
    <n v="9500"/>
    <n v="1"/>
    <d v="2026-04-19T00:00:00"/>
    <x v="1"/>
    <n v="115000"/>
    <n v="2"/>
    <n v="11.1"/>
    <x v="1"/>
  </r>
  <r>
    <s v="C046"/>
    <s v="Suraj Kumar"/>
    <x v="5"/>
    <n v="39"/>
    <x v="0"/>
    <s v="Electronics"/>
    <x v="44"/>
    <n v="5500"/>
    <n v="2"/>
    <d v="2026-04-21T00:00:00"/>
    <x v="0"/>
    <n v="275000"/>
    <n v="5"/>
    <n v="9.6"/>
    <x v="0"/>
  </r>
  <r>
    <s v="C047"/>
    <s v="Renu Gupta"/>
    <x v="0"/>
    <n v="42"/>
    <x v="1"/>
    <s v="Fashion"/>
    <x v="45"/>
    <n v="2100"/>
    <n v="2"/>
    <d v="2026-04-23T00:00:00"/>
    <x v="2"/>
    <n v="180000"/>
    <n v="4"/>
    <n v="10"/>
    <x v="0"/>
  </r>
  <r>
    <s v="C048"/>
    <s v="Gaurav Mehra"/>
    <x v="3"/>
    <n v="48"/>
    <x v="0"/>
    <s v="Furniture"/>
    <x v="46"/>
    <n v="11000"/>
    <n v="1"/>
    <d v="2026-04-25T00:00:00"/>
    <x v="0"/>
    <n v="475000"/>
    <n v="7"/>
    <n v="8.8000000000000007"/>
    <x v="0"/>
  </r>
  <r>
    <s v="C049"/>
    <s v="Swati Joshi"/>
    <x v="4"/>
    <n v="30"/>
    <x v="1"/>
    <s v="Beauty"/>
    <x v="47"/>
    <n v="900"/>
    <n v="4"/>
    <d v="2026-04-27T00:00:00"/>
    <x v="1"/>
    <n v="105000"/>
    <n v="2"/>
    <n v="11.3"/>
    <x v="0"/>
  </r>
  <r>
    <s v="C050"/>
    <s v="Ankit Sharma"/>
    <x v="0"/>
    <n v="37"/>
    <x v="0"/>
    <s v="Electronics"/>
    <x v="0"/>
    <n v="62000"/>
    <n v="1"/>
    <d v="2026-04-30T00:00:00"/>
    <x v="0"/>
    <n v="350000"/>
    <n v="5"/>
    <n v="9.3000000000000007"/>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20"/>
  </r>
  <r>
    <x v="1"/>
    <n v="20"/>
  </r>
  <r>
    <x v="2"/>
    <n v="10"/>
  </r>
  <r>
    <x v="3"/>
    <n v="30"/>
  </r>
  <r>
    <x v="4"/>
    <n v="2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x v="0"/>
    <n v="300000"/>
  </r>
  <r>
    <x v="0"/>
    <n v="150000"/>
  </r>
  <r>
    <x v="1"/>
    <n v="500000"/>
  </r>
  <r>
    <x v="0"/>
    <n v="100000"/>
  </r>
  <r>
    <x v="0"/>
    <n v="250000"/>
  </r>
  <r>
    <x v="0"/>
    <n v="180000"/>
  </r>
  <r>
    <x v="1"/>
    <n v="400000"/>
  </r>
  <r>
    <x v="0"/>
    <n v="200000"/>
  </r>
  <r>
    <x v="0"/>
    <n v="350000"/>
  </r>
  <r>
    <x v="0"/>
    <n v="120000"/>
  </r>
  <r>
    <x v="0"/>
    <n v="275000"/>
  </r>
  <r>
    <x v="0"/>
    <n v="160000"/>
  </r>
  <r>
    <x v="1"/>
    <n v="450000"/>
  </r>
  <r>
    <x v="0"/>
    <n v="80000"/>
  </r>
  <r>
    <x v="0"/>
    <n v="300000"/>
  </r>
  <r>
    <x v="0"/>
    <n v="175000"/>
  </r>
  <r>
    <x v="0"/>
    <n v="550000"/>
  </r>
  <r>
    <x v="1"/>
    <n v="225000"/>
  </r>
  <r>
    <x v="1"/>
    <n v="600000"/>
  </r>
  <r>
    <x v="0"/>
    <n v="90000"/>
  </r>
  <r>
    <x v="0"/>
    <n v="240000"/>
  </r>
  <r>
    <x v="0"/>
    <n v="130000"/>
  </r>
  <r>
    <x v="1"/>
    <n v="500000"/>
  </r>
  <r>
    <x v="0"/>
    <n v="70000"/>
  </r>
  <r>
    <x v="0"/>
    <n v="280000"/>
  </r>
  <r>
    <x v="0"/>
    <n v="190000"/>
  </r>
  <r>
    <x v="1"/>
    <n v="450000"/>
  </r>
  <r>
    <x v="0"/>
    <n v="110000"/>
  </r>
  <r>
    <x v="1"/>
    <n v="525000"/>
  </r>
  <r>
    <x v="0"/>
    <n v="145000"/>
  </r>
  <r>
    <x v="0"/>
    <n v="260000"/>
  </r>
  <r>
    <x v="0"/>
    <n v="95000"/>
  </r>
  <r>
    <x v="1"/>
    <n v="375000"/>
  </r>
  <r>
    <x v="0"/>
    <n v="210000"/>
  </r>
  <r>
    <x v="1"/>
    <n v="650000"/>
  </r>
  <r>
    <x v="0"/>
    <n v="125000"/>
  </r>
  <r>
    <x v="1"/>
    <n v="700000"/>
  </r>
  <r>
    <x v="0"/>
    <n v="60000"/>
  </r>
  <r>
    <x v="0"/>
    <n v="325000"/>
  </r>
  <r>
    <x v="0"/>
    <n v="155000"/>
  </r>
  <r>
    <x v="0"/>
    <n v="100000"/>
  </r>
  <r>
    <x v="1"/>
    <n v="420000"/>
  </r>
  <r>
    <x v="0"/>
    <n v="140000"/>
  </r>
  <r>
    <x v="1"/>
    <n v="800000"/>
  </r>
  <r>
    <x v="0"/>
    <n v="115000"/>
  </r>
  <r>
    <x v="0"/>
    <n v="275000"/>
  </r>
  <r>
    <x v="1"/>
    <n v="180000"/>
  </r>
  <r>
    <x v="1"/>
    <n v="475000"/>
  </r>
  <r>
    <x v="0"/>
    <n v="10500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s v="Jan"/>
    <x v="0"/>
    <s v="Amit"/>
    <s v="Laptop"/>
    <x v="0"/>
    <x v="0"/>
    <x v="0"/>
    <n v="250000"/>
    <n v="40000"/>
  </r>
  <r>
    <s v="Jan"/>
    <x v="0"/>
    <s v="Neha"/>
    <s v="Mobile"/>
    <x v="0"/>
    <x v="1"/>
    <x v="1"/>
    <n v="180000"/>
    <n v="30000"/>
  </r>
  <r>
    <s v="Jan"/>
    <x v="0"/>
    <s v="Rahul"/>
    <s v="Headphones"/>
    <x v="1"/>
    <x v="2"/>
    <x v="2"/>
    <n v="60000"/>
    <n v="12000"/>
  </r>
  <r>
    <s v="Jan"/>
    <x v="0"/>
    <s v="Priya"/>
    <s v="Monitor"/>
    <x v="0"/>
    <x v="3"/>
    <x v="3"/>
    <n v="120000"/>
    <n v="20000"/>
  </r>
  <r>
    <s v="Feb"/>
    <x v="1"/>
    <s v="Amit"/>
    <s v="Laptop"/>
    <x v="0"/>
    <x v="0"/>
    <x v="4"/>
    <n v="350000"/>
    <n v="55000"/>
  </r>
  <r>
    <s v="Feb"/>
    <x v="1"/>
    <s v="Neha"/>
    <s v="Mobile"/>
    <x v="0"/>
    <x v="1"/>
    <x v="5"/>
    <n v="225000"/>
    <n v="38000"/>
  </r>
  <r>
    <s v="Feb"/>
    <x v="1"/>
    <s v="Rahul"/>
    <s v="Keyboard"/>
    <x v="1"/>
    <x v="2"/>
    <x v="6"/>
    <n v="50000"/>
    <n v="10000"/>
  </r>
  <r>
    <s v="Feb"/>
    <x v="2"/>
    <s v="Priya"/>
    <s v="Printer"/>
    <x v="0"/>
    <x v="3"/>
    <x v="7"/>
    <n v="150000"/>
    <n v="25000"/>
  </r>
  <r>
    <s v="Mar"/>
    <x v="2"/>
    <s v="Amit"/>
    <s v="Mobile"/>
    <x v="0"/>
    <x v="0"/>
    <x v="8"/>
    <n v="270000"/>
    <n v="45000"/>
  </r>
  <r>
    <s v="Mar"/>
    <x v="2"/>
    <s v="Neha"/>
    <s v="Laptop"/>
    <x v="0"/>
    <x v="1"/>
    <x v="9"/>
    <n v="300000"/>
    <n v="48000"/>
  </r>
  <r>
    <s v="Mar"/>
    <x v="2"/>
    <s v="Rahul"/>
    <s v="Monitor"/>
    <x v="0"/>
    <x v="2"/>
    <x v="1"/>
    <n v="180000"/>
    <n v="30000"/>
  </r>
  <r>
    <s v="Mar"/>
    <x v="2"/>
    <s v="Priya"/>
    <s v="Headphones"/>
    <x v="1"/>
    <x v="3"/>
    <x v="10"/>
    <n v="90000"/>
    <n v="18000"/>
  </r>
  <r>
    <s v="Apr"/>
    <x v="2"/>
    <s v="Amit"/>
    <s v="Printer"/>
    <x v="0"/>
    <x v="0"/>
    <x v="11"/>
    <n v="135000"/>
    <n v="22000"/>
  </r>
  <r>
    <s v="Apr"/>
    <x v="3"/>
    <s v="Neha"/>
    <s v="Mobile"/>
    <x v="0"/>
    <x v="1"/>
    <x v="2"/>
    <n v="300000"/>
    <n v="50000"/>
  </r>
  <r>
    <s v="Apr"/>
    <x v="3"/>
    <s v="Rahul"/>
    <s v="Laptop"/>
    <x v="0"/>
    <x v="2"/>
    <x v="0"/>
    <n v="250000"/>
    <n v="40000"/>
  </r>
  <r>
    <s v="Apr"/>
    <x v="3"/>
    <s v="Priya"/>
    <s v="Keyboard"/>
    <x v="1"/>
    <x v="3"/>
    <x v="12"/>
    <n v="70000"/>
    <n v="14000"/>
  </r>
  <r>
    <s v="May"/>
    <x v="3"/>
    <s v="Amit"/>
    <s v="Monitor"/>
    <x v="0"/>
    <x v="0"/>
    <x v="5"/>
    <n v="225000"/>
    <n v="37000"/>
  </r>
  <r>
    <s v="May"/>
    <x v="3"/>
    <s v="Neha"/>
    <s v="Printer"/>
    <x v="0"/>
    <x v="1"/>
    <x v="3"/>
    <n v="120000"/>
    <n v="20000"/>
  </r>
  <r>
    <s v="May"/>
    <x v="3"/>
    <s v="Rahul"/>
    <s v="Mobile"/>
    <x v="0"/>
    <x v="2"/>
    <x v="13"/>
    <n v="210000"/>
    <n v="35000"/>
  </r>
  <r>
    <s v="May"/>
    <x v="4"/>
    <s v="Priya"/>
    <s v="Laptop"/>
    <x v="0"/>
    <x v="3"/>
    <x v="14"/>
    <n v="200000"/>
    <n v="32000"/>
  </r>
  <r>
    <s v="Jun"/>
    <x v="4"/>
    <s v="Amit"/>
    <s v="Mobile"/>
    <x v="0"/>
    <x v="0"/>
    <x v="15"/>
    <n v="330000"/>
    <n v="55000"/>
  </r>
  <r>
    <s v="Jun"/>
    <x v="4"/>
    <s v="Neha"/>
    <s v="Headphones"/>
    <x v="1"/>
    <x v="1"/>
    <x v="16"/>
    <n v="84000"/>
    <n v="17000"/>
  </r>
  <r>
    <s v="Jun"/>
    <x v="4"/>
    <s v="Rahul"/>
    <s v="Printer"/>
    <x v="0"/>
    <x v="2"/>
    <x v="17"/>
    <n v="165000"/>
    <n v="27000"/>
  </r>
  <r>
    <s v="Jun"/>
    <x v="5"/>
    <s v="Priya"/>
    <s v="Monitor"/>
    <x v="0"/>
    <x v="3"/>
    <x v="18"/>
    <n v="195000"/>
    <n v="32000"/>
  </r>
  <r>
    <s v="Jul"/>
    <x v="5"/>
    <s v="Amit"/>
    <s v="Laptop"/>
    <x v="0"/>
    <x v="0"/>
    <x v="3"/>
    <n v="400000"/>
    <n v="65000"/>
  </r>
  <r>
    <s v="Jul"/>
    <x v="5"/>
    <s v="Neha"/>
    <s v="Mobile"/>
    <x v="0"/>
    <x v="1"/>
    <x v="6"/>
    <n v="375000"/>
    <n v="62000"/>
  </r>
  <r>
    <s v="Jul"/>
    <x v="5"/>
    <s v="Rahul"/>
    <s v="Keyboard"/>
    <x v="1"/>
    <x v="2"/>
    <x v="19"/>
    <n v="80000"/>
    <n v="16000"/>
  </r>
  <r>
    <s v="Jul"/>
    <x v="5"/>
    <s v="Priya"/>
    <s v="Printer"/>
    <x v="0"/>
    <x v="3"/>
    <x v="13"/>
    <n v="210000"/>
    <n v="35000"/>
  </r>
  <r>
    <s v="Aug"/>
    <x v="5"/>
    <s v="Amit"/>
    <s v="Monitor"/>
    <x v="0"/>
    <x v="0"/>
    <x v="8"/>
    <n v="270000"/>
    <n v="45000"/>
  </r>
  <r>
    <s v="Aug"/>
    <x v="5"/>
    <s v="Neha"/>
    <s v="Laptop"/>
    <x v="0"/>
    <x v="1"/>
    <x v="4"/>
    <n v="350000"/>
    <n v="57000"/>
  </r>
  <r>
    <s v="Aug"/>
    <x v="6"/>
    <s v="Rahul"/>
    <s v="Mobile"/>
    <x v="0"/>
    <x v="2"/>
    <x v="20"/>
    <n v="285000"/>
    <n v="47000"/>
  </r>
  <r>
    <s v="Aug"/>
    <x v="6"/>
    <s v="Priya"/>
    <s v="Headphones"/>
    <x v="1"/>
    <x v="3"/>
    <x v="21"/>
    <n v="96000"/>
    <n v="19000"/>
  </r>
  <r>
    <s v="Sep"/>
    <x v="6"/>
    <s v="Amit"/>
    <s v="Printer"/>
    <x v="0"/>
    <x v="0"/>
    <x v="1"/>
    <n v="180000"/>
    <n v="30000"/>
  </r>
  <r>
    <s v="Sep"/>
    <x v="6"/>
    <s v="Neha"/>
    <s v="Monitor"/>
    <x v="0"/>
    <x v="1"/>
    <x v="22"/>
    <n v="240000"/>
    <n v="40000"/>
  </r>
  <r>
    <s v="Sep"/>
    <x v="6"/>
    <s v="Rahul"/>
    <s v="Laptop"/>
    <x v="0"/>
    <x v="2"/>
    <x v="9"/>
    <n v="300000"/>
    <n v="48000"/>
  </r>
  <r>
    <s v="Sep"/>
    <x v="6"/>
    <s v="Priya"/>
    <s v="Mobile"/>
    <x v="0"/>
    <x v="3"/>
    <x v="23"/>
    <n v="315000"/>
    <n v="52000"/>
  </r>
  <r>
    <s v="Oct"/>
    <x v="6"/>
    <s v="Amit"/>
    <s v="Mobile"/>
    <x v="0"/>
    <x v="0"/>
    <x v="24"/>
    <n v="360000"/>
    <n v="60000"/>
  </r>
  <r>
    <s v="Oct"/>
    <x v="6"/>
    <s v="Neha"/>
    <s v="Printer"/>
    <x v="0"/>
    <x v="1"/>
    <x v="7"/>
    <n v="150000"/>
    <n v="25000"/>
  </r>
  <r>
    <s v="Oct"/>
    <x v="7"/>
    <s v="Rahul"/>
    <s v="Monitor"/>
    <x v="0"/>
    <x v="2"/>
    <x v="13"/>
    <n v="210000"/>
    <n v="35000"/>
  </r>
  <r>
    <s v="Oct"/>
    <x v="7"/>
    <s v="Priya"/>
    <s v="Laptop"/>
    <x v="0"/>
    <x v="3"/>
    <x v="0"/>
    <n v="250000"/>
    <n v="40000"/>
  </r>
  <r>
    <s v="Nov"/>
    <x v="7"/>
    <s v="Amit"/>
    <s v="Headphones"/>
    <x v="1"/>
    <x v="0"/>
    <x v="12"/>
    <n v="105000"/>
    <n v="21000"/>
  </r>
  <r>
    <s v="Nov"/>
    <x v="7"/>
    <s v="Neha"/>
    <s v="Mobile"/>
    <x v="0"/>
    <x v="1"/>
    <x v="25"/>
    <n v="405000"/>
    <n v="67000"/>
  </r>
  <r>
    <s v="Nov"/>
    <x v="7"/>
    <s v="Rahul"/>
    <s v="Printer"/>
    <x v="0"/>
    <x v="2"/>
    <x v="18"/>
    <n v="195000"/>
    <n v="32000"/>
  </r>
  <r>
    <s v="Nov"/>
    <x v="7"/>
    <s v="Priya"/>
    <s v="Monitor"/>
    <x v="0"/>
    <x v="3"/>
    <x v="26"/>
    <n v="255000"/>
    <n v="42000"/>
  </r>
  <r>
    <s v="Dec"/>
    <x v="7"/>
    <s v="Amit"/>
    <s v="Laptop"/>
    <x v="0"/>
    <x v="0"/>
    <x v="11"/>
    <n v="450000"/>
    <n v="72000"/>
  </r>
  <r>
    <s v="Dec"/>
    <x v="7"/>
    <s v="Neha"/>
    <s v="Mobile"/>
    <x v="0"/>
    <x v="1"/>
    <x v="10"/>
    <n v="450000"/>
    <n v="75000"/>
  </r>
  <r>
    <s v="Dec"/>
    <x v="7"/>
    <s v="Rahul"/>
    <s v="Keyboard"/>
    <x v="1"/>
    <x v="2"/>
    <x v="27"/>
    <n v="90000"/>
    <n v="18000"/>
  </r>
  <r>
    <s v="Dec"/>
    <x v="7"/>
    <s v="Priya"/>
    <s v="Printer"/>
    <x v="0"/>
    <x v="3"/>
    <x v="5"/>
    <n v="225000"/>
    <n v="37000"/>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s v="O1006"/>
    <x v="0"/>
    <s v="Instagram"/>
    <s v="Mobile Cover"/>
    <s v="Accessories"/>
    <x v="0"/>
    <n v="2"/>
    <x v="0"/>
    <n v="180"/>
    <n v="1820"/>
    <x v="0"/>
    <x v="0"/>
    <s v="No"/>
  </r>
  <r>
    <s v="O1007"/>
    <x v="0"/>
    <s v="Amazon"/>
    <s v="Running Shoes"/>
    <s v="Footwear"/>
    <x v="1"/>
    <n v="1"/>
    <x v="1"/>
    <n v="1500"/>
    <n v="999"/>
    <x v="1"/>
    <x v="0"/>
    <s v="No"/>
  </r>
  <r>
    <s v="O1008"/>
    <x v="0"/>
    <s v="Flipkart"/>
    <s v="Smart Watch"/>
    <s v="Electronics"/>
    <x v="2"/>
    <n v="2"/>
    <x v="2"/>
    <n v="1200"/>
    <n v="799"/>
    <x v="2"/>
    <x v="0"/>
    <s v="No"/>
  </r>
  <r>
    <s v="O1009"/>
    <x v="1"/>
    <s v="WhatsApp"/>
    <s v="Saree"/>
    <s v="Clothing"/>
    <x v="3"/>
    <n v="1"/>
    <x v="3"/>
    <n v="950"/>
    <n v="849"/>
    <x v="0"/>
    <x v="0"/>
    <s v="No"/>
  </r>
  <r>
    <s v="O1010"/>
    <x v="2"/>
    <s v="Meesho"/>
    <s v="Cushion Cover"/>
    <s v="Home Decor"/>
    <x v="4"/>
    <n v="4"/>
    <x v="4"/>
    <n v="220"/>
    <n v="3280"/>
    <x v="1"/>
    <x v="0"/>
    <s v="No"/>
  </r>
  <r>
    <s v="O1011"/>
    <x v="3"/>
    <s v="Instagram"/>
    <s v="Handbag"/>
    <s v="Accessories"/>
    <x v="5"/>
    <n v="2"/>
    <x v="5"/>
    <n v="450"/>
    <n v="1450"/>
    <x v="1"/>
    <x v="0"/>
    <s v="No"/>
  </r>
  <r>
    <s v="O1012"/>
    <x v="4"/>
    <s v="Myntra"/>
    <s v="Jeans"/>
    <s v="Clothing"/>
    <x v="6"/>
    <n v="1"/>
    <x v="6"/>
    <n v="700"/>
    <n v="599"/>
    <x v="3"/>
    <x v="1"/>
    <s v="Yes"/>
  </r>
  <r>
    <s v="O1013"/>
    <x v="5"/>
    <s v="Amazon"/>
    <s v="Bluetooth Speaker"/>
    <s v="Electronics"/>
    <x v="7"/>
    <n v="1"/>
    <x v="3"/>
    <n v="1000"/>
    <n v="799"/>
    <x v="0"/>
    <x v="0"/>
    <s v="No"/>
  </r>
  <r>
    <s v="O1014"/>
    <x v="6"/>
    <s v="Flipkart"/>
    <s v="Backpack"/>
    <s v="Accessories"/>
    <x v="0"/>
    <n v="3"/>
    <x v="7"/>
    <n v="400"/>
    <n v="1900"/>
    <x v="1"/>
    <x v="0"/>
    <s v="No"/>
  </r>
  <r>
    <s v="O1015"/>
    <x v="7"/>
    <s v="Own Website"/>
    <s v="Kurti"/>
    <s v="Clothing"/>
    <x v="8"/>
    <n v="2"/>
    <x v="8"/>
    <n v="550"/>
    <n v="549"/>
    <x v="2"/>
    <x v="0"/>
    <s v="No"/>
  </r>
  <r>
    <s v="O1016"/>
    <x v="7"/>
    <s v="Instagram"/>
    <s v="Wall Clock"/>
    <s v="Home Decor"/>
    <x v="9"/>
    <n v="1"/>
    <x v="9"/>
    <n v="300"/>
    <n v="2800"/>
    <x v="0"/>
    <x v="0"/>
    <s v="No"/>
  </r>
  <r>
    <s v="O1017"/>
    <x v="7"/>
    <s v="Meesho"/>
    <s v="T-Shirt"/>
    <s v="Clothing"/>
    <x v="10"/>
    <n v="3"/>
    <x v="10"/>
    <n v="300"/>
    <n v="2900"/>
    <x v="1"/>
    <x v="0"/>
    <s v="No"/>
  </r>
  <r>
    <s v="O1018"/>
    <x v="8"/>
    <s v="Amazon"/>
    <s v="Laptop Bag"/>
    <s v="Accessories"/>
    <x v="11"/>
    <n v="2"/>
    <x v="11"/>
    <n v="650"/>
    <n v="549"/>
    <x v="0"/>
    <x v="1"/>
    <s v="Yes"/>
  </r>
  <r>
    <s v="O1019"/>
    <x v="8"/>
    <s v="WhatsApp"/>
    <s v="Bedsheet"/>
    <s v="Home Decor"/>
    <x v="0"/>
    <n v="2"/>
    <x v="12"/>
    <n v="450"/>
    <n v="2550"/>
    <x v="1"/>
    <x v="0"/>
    <s v="No"/>
  </r>
  <r>
    <s v="O1020"/>
    <x v="9"/>
    <s v="Flipkart"/>
    <s v="Earbuds"/>
    <s v="Electronics"/>
    <x v="12"/>
    <n v="1"/>
    <x v="13"/>
    <n v="850"/>
    <n v="749"/>
    <x v="2"/>
    <x v="0"/>
    <s v="No"/>
  </r>
  <r>
    <s v="O1021"/>
    <x v="9"/>
    <s v="Instagram"/>
    <s v="Sunglasses"/>
    <s v="Accessories"/>
    <x v="4"/>
    <n v="3"/>
    <x v="0"/>
    <n v="300"/>
    <n v="1700"/>
    <x v="0"/>
    <x v="0"/>
    <s v="No"/>
  </r>
  <r>
    <s v="O1022"/>
    <x v="9"/>
    <s v="Myntra"/>
    <s v="Shirt"/>
    <s v="Clothing"/>
    <x v="5"/>
    <n v="2"/>
    <x v="14"/>
    <n v="500"/>
    <n v="500"/>
    <x v="1"/>
    <x v="0"/>
    <s v="No"/>
  </r>
  <r>
    <s v="O1023"/>
    <x v="10"/>
    <s v="Own Website"/>
    <s v="Table Lamp"/>
    <s v="Home Decor"/>
    <x v="6"/>
    <n v="1"/>
    <x v="6"/>
    <n v="650"/>
    <n v="649"/>
    <x v="1"/>
    <x v="0"/>
    <s v="No"/>
  </r>
  <r>
    <s v="O1024"/>
    <x v="11"/>
    <s v="Amazon"/>
    <s v="Power Bank"/>
    <s v="Electronics"/>
    <x v="2"/>
    <n v="2"/>
    <x v="6"/>
    <n v="700"/>
    <n v="599"/>
    <x v="0"/>
    <x v="0"/>
    <s v="No"/>
  </r>
  <r>
    <s v="O1025"/>
    <x v="12"/>
    <s v="Instagram"/>
    <s v="Earrings"/>
    <s v="Accessories"/>
    <x v="0"/>
    <n v="4"/>
    <x v="15"/>
    <n v="180"/>
    <n v="1320"/>
    <x v="1"/>
    <x v="0"/>
    <s v="N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5405B7-FBB3-44AC-A8D9-A2701F969762}"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31:E37" firstHeaderRow="1" firstDataRow="1" firstDataCol="1"/>
  <pivotFields count="2">
    <pivotField axis="axisRow" showAll="0">
      <items count="6">
        <item x="0"/>
        <item x="3"/>
        <item x="1"/>
        <item x="2"/>
        <item x="4"/>
        <item t="default"/>
      </items>
    </pivotField>
    <pivotField dataField="1" showAll="0"/>
  </pivotFields>
  <rowFields count="1">
    <field x="0"/>
  </rowFields>
  <rowItems count="6">
    <i>
      <x/>
    </i>
    <i>
      <x v="1"/>
    </i>
    <i>
      <x v="2"/>
    </i>
    <i>
      <x v="3"/>
    </i>
    <i>
      <x v="4"/>
    </i>
    <i t="grand">
      <x/>
    </i>
  </rowItems>
  <colItems count="1">
    <i/>
  </colItems>
  <dataFields count="1">
    <dataField name="Sum of SALARY" fld="1" baseField="0" baseItem="0"/>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1" format="3">
      <pivotArea type="data" outline="0" fieldPosition="0">
        <references count="2">
          <reference field="4294967294" count="1" selected="0">
            <x v="0"/>
          </reference>
          <reference field="0" count="1" selected="0">
            <x v="2"/>
          </reference>
        </references>
      </pivotArea>
    </chartFormat>
    <chartFormat chart="1" format="4">
      <pivotArea type="data" outline="0" fieldPosition="0">
        <references count="2">
          <reference field="4294967294" count="1" selected="0">
            <x v="0"/>
          </reference>
          <reference field="0" count="1" selected="0">
            <x v="3"/>
          </reference>
        </references>
      </pivotArea>
    </chartFormat>
    <chartFormat chart="1" format="5">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27A4F5-C087-4CFC-ABFB-921D6290C494}"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31:D133" firstHeaderRow="1" firstDataRow="2" firstDataCol="1"/>
  <pivotFields count="15">
    <pivotField showAll="0"/>
    <pivotField showAll="0"/>
    <pivotField showAll="0"/>
    <pivotField showAll="0"/>
    <pivotField axis="axisCol" dataField="1" showAll="0">
      <items count="3">
        <item x="1"/>
        <item x="0"/>
        <item t="default"/>
      </items>
    </pivotField>
    <pivotField showAll="0"/>
    <pivotField showAll="0"/>
    <pivotField showAll="0"/>
    <pivotField showAll="0"/>
    <pivotField numFmtId="14" showAll="0"/>
    <pivotField showAll="0"/>
    <pivotField showAll="0"/>
    <pivotField showAll="0"/>
    <pivotField showAll="0"/>
    <pivotField showAll="0"/>
  </pivotFields>
  <rowItems count="1">
    <i/>
  </rowItems>
  <colFields count="1">
    <field x="4"/>
  </colFields>
  <colItems count="3">
    <i>
      <x/>
    </i>
    <i>
      <x v="1"/>
    </i>
    <i t="grand">
      <x/>
    </i>
  </colItems>
  <dataFields count="1">
    <dataField name="Count of Gender" fld="4" subtotal="count" baseField="0" baseItem="0"/>
  </dataFields>
  <chartFormats count="2">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8DE07B-7DAE-499D-8ACC-408CC275ECE5}"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4:D70" firstHeaderRow="1" firstDataRow="2" firstDataCol="1" rowPageCount="1" colPageCount="1"/>
  <pivotFields count="15">
    <pivotField showAll="0"/>
    <pivotField showAll="0"/>
    <pivotField axis="axisRow" showAll="0">
      <items count="15">
        <item x="6"/>
        <item x="7"/>
        <item x="8"/>
        <item x="10"/>
        <item x="0"/>
        <item x="3"/>
        <item x="11"/>
        <item x="5"/>
        <item x="12"/>
        <item x="13"/>
        <item x="9"/>
        <item x="1"/>
        <item x="2"/>
        <item x="4"/>
        <item t="default"/>
      </items>
    </pivotField>
    <pivotField showAll="0"/>
    <pivotField axis="axisPage" showAll="0">
      <items count="3">
        <item x="1"/>
        <item x="0"/>
        <item t="default"/>
      </items>
    </pivotField>
    <pivotField showAll="0"/>
    <pivotField showAll="0"/>
    <pivotField showAll="0"/>
    <pivotField showAll="0"/>
    <pivotField numFmtId="14" showAll="0"/>
    <pivotField showAll="0"/>
    <pivotField showAll="0"/>
    <pivotField showAll="0"/>
    <pivotField showAll="0"/>
    <pivotField axis="axisCol" dataField="1" showAll="0">
      <items count="3">
        <item x="0"/>
        <item x="1"/>
        <item t="default"/>
      </items>
    </pivotField>
  </pivotFields>
  <rowFields count="1">
    <field x="2"/>
  </rowFields>
  <rowItems count="15">
    <i>
      <x/>
    </i>
    <i>
      <x v="1"/>
    </i>
    <i>
      <x v="2"/>
    </i>
    <i>
      <x v="3"/>
    </i>
    <i>
      <x v="4"/>
    </i>
    <i>
      <x v="5"/>
    </i>
    <i>
      <x v="6"/>
    </i>
    <i>
      <x v="7"/>
    </i>
    <i>
      <x v="8"/>
    </i>
    <i>
      <x v="9"/>
    </i>
    <i>
      <x v="10"/>
    </i>
    <i>
      <x v="11"/>
    </i>
    <i>
      <x v="12"/>
    </i>
    <i>
      <x v="13"/>
    </i>
    <i t="grand">
      <x/>
    </i>
  </rowItems>
  <colFields count="1">
    <field x="14"/>
  </colFields>
  <colItems count="3">
    <i>
      <x/>
    </i>
    <i>
      <x v="1"/>
    </i>
    <i t="grand">
      <x/>
    </i>
  </colItems>
  <pageFields count="1">
    <pageField fld="4" hier="-1"/>
  </pageFields>
  <dataFields count="1">
    <dataField name="Count of Loan_Status" fld="1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D313459-4057-4133-B8AD-FDBC3A2A21DA}"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81:B188" firstHeaderRow="1" firstDataRow="1" firstDataCol="1"/>
  <pivotFields count="15">
    <pivotField showAll="0"/>
    <pivotField showAll="0"/>
    <pivotField axis="axisRow" showAll="0" measureFilter="1" sortType="descending">
      <items count="15">
        <item x="4"/>
        <item x="2"/>
        <item x="1"/>
        <item x="9"/>
        <item x="13"/>
        <item x="12"/>
        <item x="5"/>
        <item x="11"/>
        <item x="3"/>
        <item x="0"/>
        <item x="10"/>
        <item x="8"/>
        <item x="7"/>
        <item x="6"/>
        <item t="default"/>
      </items>
    </pivotField>
    <pivotField showAll="0"/>
    <pivotField showAll="0"/>
    <pivotField showAll="0"/>
    <pivotField showAll="0"/>
    <pivotField showAll="0"/>
    <pivotField dataField="1" showAll="0"/>
    <pivotField numFmtId="14" showAll="0"/>
    <pivotField showAll="0"/>
    <pivotField showAll="0"/>
    <pivotField showAll="0"/>
    <pivotField showAll="0"/>
    <pivotField showAll="0"/>
  </pivotFields>
  <rowFields count="1">
    <field x="2"/>
  </rowFields>
  <rowItems count="7">
    <i>
      <x/>
    </i>
    <i>
      <x v="1"/>
    </i>
    <i>
      <x v="6"/>
    </i>
    <i>
      <x v="9"/>
    </i>
    <i>
      <x v="11"/>
    </i>
    <i>
      <x v="13"/>
    </i>
    <i t="grand">
      <x/>
    </i>
  </rowItems>
  <colItems count="1">
    <i/>
  </colItems>
  <dataFields count="1">
    <dataField name="Sum of Quantity" fld="8"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F7DE0AF-D1EE-4496-B4E2-F3709309E736}"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45:B160" firstHeaderRow="1" firstDataRow="1" firstDataCol="1"/>
  <pivotFields count="15">
    <pivotField showAll="0"/>
    <pivotField showAll="0"/>
    <pivotField axis="axisRow" showAll="0">
      <items count="15">
        <item x="6"/>
        <item x="7"/>
        <item x="8"/>
        <item x="10"/>
        <item x="0"/>
        <item x="3"/>
        <item x="11"/>
        <item x="5"/>
        <item x="12"/>
        <item x="13"/>
        <item x="9"/>
        <item x="1"/>
        <item x="2"/>
        <item x="4"/>
        <item t="default"/>
      </items>
    </pivotField>
    <pivotField showAll="0"/>
    <pivotField showAll="0"/>
    <pivotField showAll="0"/>
    <pivotField showAll="0"/>
    <pivotField showAll="0"/>
    <pivotField showAll="0"/>
    <pivotField numFmtId="14" showAll="0"/>
    <pivotField showAll="0"/>
    <pivotField dataField="1" showAll="0"/>
    <pivotField showAll="0"/>
    <pivotField showAll="0"/>
    <pivotField showAll="0"/>
  </pivotFields>
  <rowFields count="1">
    <field x="2"/>
  </rowFields>
  <rowItems count="15">
    <i>
      <x/>
    </i>
    <i>
      <x v="1"/>
    </i>
    <i>
      <x v="2"/>
    </i>
    <i>
      <x v="3"/>
    </i>
    <i>
      <x v="4"/>
    </i>
    <i>
      <x v="5"/>
    </i>
    <i>
      <x v="6"/>
    </i>
    <i>
      <x v="7"/>
    </i>
    <i>
      <x v="8"/>
    </i>
    <i>
      <x v="9"/>
    </i>
    <i>
      <x v="10"/>
    </i>
    <i>
      <x v="11"/>
    </i>
    <i>
      <x v="12"/>
    </i>
    <i>
      <x v="13"/>
    </i>
    <i t="grand">
      <x/>
    </i>
  </rowItems>
  <colItems count="1">
    <i/>
  </colItems>
  <dataFields count="1">
    <dataField name="Sum of Loan_Amount" fld="11" baseField="0" baseItem="0"/>
  </dataFields>
  <chartFormats count="2">
    <chartFormat chart="0"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62E227C-4176-48C6-ABC2-64F8B38D2ADA}"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34:B283" firstHeaderRow="1" firstDataRow="1" firstDataCol="1"/>
  <pivotFields count="15">
    <pivotField showAll="0"/>
    <pivotField showAll="0"/>
    <pivotField showAll="0">
      <items count="15">
        <item x="6"/>
        <item x="7"/>
        <item x="8"/>
        <item x="10"/>
        <item x="0"/>
        <item x="3"/>
        <item x="11"/>
        <item x="5"/>
        <item x="12"/>
        <item x="13"/>
        <item x="9"/>
        <item x="1"/>
        <item x="2"/>
        <item x="4"/>
        <item t="default"/>
      </items>
    </pivotField>
    <pivotField showAll="0"/>
    <pivotField showAll="0"/>
    <pivotField showAll="0"/>
    <pivotField axis="axisRow" showAll="0">
      <items count="49">
        <item x="26"/>
        <item x="33"/>
        <item x="22"/>
        <item x="46"/>
        <item x="38"/>
        <item x="2"/>
        <item x="15"/>
        <item x="19"/>
        <item x="36"/>
        <item x="1"/>
        <item x="25"/>
        <item x="40"/>
        <item x="29"/>
        <item x="17"/>
        <item x="3"/>
        <item x="27"/>
        <item x="21"/>
        <item x="20"/>
        <item x="42"/>
        <item x="0"/>
        <item x="37"/>
        <item x="23"/>
        <item x="9"/>
        <item x="4"/>
        <item x="10"/>
        <item x="41"/>
        <item x="32"/>
        <item x="13"/>
        <item x="30"/>
        <item x="14"/>
        <item x="6"/>
        <item x="45"/>
        <item x="7"/>
        <item x="47"/>
        <item x="11"/>
        <item x="5"/>
        <item x="24"/>
        <item x="16"/>
        <item x="44"/>
        <item x="12"/>
        <item x="8"/>
        <item x="39"/>
        <item x="31"/>
        <item x="18"/>
        <item x="43"/>
        <item x="28"/>
        <item x="34"/>
        <item x="35"/>
        <item t="default"/>
      </items>
    </pivotField>
    <pivotField dataField="1" showAll="0"/>
    <pivotField showAll="0"/>
    <pivotField numFmtId="14" showAll="0"/>
    <pivotField showAll="0"/>
    <pivotField showAll="0"/>
    <pivotField showAll="0"/>
    <pivotField showAll="0"/>
    <pivotField showAll="0"/>
  </pivotFields>
  <rowFields count="1">
    <field x="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Price" fld="7" baseField="0" baseItem="0"/>
  </dataFields>
  <chartFormats count="4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0" format="4" series="1">
      <pivotArea type="data" outline="0" fieldPosition="0">
        <references count="2">
          <reference field="4294967294" count="1" selected="0">
            <x v="0"/>
          </reference>
          <reference field="6" count="1" selected="0">
            <x v="4"/>
          </reference>
        </references>
      </pivotArea>
    </chartFormat>
    <chartFormat chart="0" format="5" series="1">
      <pivotArea type="data" outline="0" fieldPosition="0">
        <references count="2">
          <reference field="4294967294" count="1" selected="0">
            <x v="0"/>
          </reference>
          <reference field="6" count="1" selected="0">
            <x v="5"/>
          </reference>
        </references>
      </pivotArea>
    </chartFormat>
    <chartFormat chart="0" format="6" series="1">
      <pivotArea type="data" outline="0" fieldPosition="0">
        <references count="2">
          <reference field="4294967294" count="1" selected="0">
            <x v="0"/>
          </reference>
          <reference field="6" count="1" selected="0">
            <x v="6"/>
          </reference>
        </references>
      </pivotArea>
    </chartFormat>
    <chartFormat chart="0" format="7" series="1">
      <pivotArea type="data" outline="0" fieldPosition="0">
        <references count="2">
          <reference field="4294967294" count="1" selected="0">
            <x v="0"/>
          </reference>
          <reference field="6" count="1" selected="0">
            <x v="7"/>
          </reference>
        </references>
      </pivotArea>
    </chartFormat>
    <chartFormat chart="0" format="8" series="1">
      <pivotArea type="data" outline="0" fieldPosition="0">
        <references count="2">
          <reference field="4294967294" count="1" selected="0">
            <x v="0"/>
          </reference>
          <reference field="6" count="1" selected="0">
            <x v="8"/>
          </reference>
        </references>
      </pivotArea>
    </chartFormat>
    <chartFormat chart="0" format="9" series="1">
      <pivotArea type="data" outline="0" fieldPosition="0">
        <references count="2">
          <reference field="4294967294" count="1" selected="0">
            <x v="0"/>
          </reference>
          <reference field="6" count="1" selected="0">
            <x v="9"/>
          </reference>
        </references>
      </pivotArea>
    </chartFormat>
    <chartFormat chart="0" format="10" series="1">
      <pivotArea type="data" outline="0" fieldPosition="0">
        <references count="2">
          <reference field="4294967294" count="1" selected="0">
            <x v="0"/>
          </reference>
          <reference field="6" count="1" selected="0">
            <x v="10"/>
          </reference>
        </references>
      </pivotArea>
    </chartFormat>
    <chartFormat chart="0" format="11" series="1">
      <pivotArea type="data" outline="0" fieldPosition="0">
        <references count="2">
          <reference field="4294967294" count="1" selected="0">
            <x v="0"/>
          </reference>
          <reference field="6" count="1" selected="0">
            <x v="11"/>
          </reference>
        </references>
      </pivotArea>
    </chartFormat>
    <chartFormat chart="0" format="12" series="1">
      <pivotArea type="data" outline="0" fieldPosition="0">
        <references count="2">
          <reference field="4294967294" count="1" selected="0">
            <x v="0"/>
          </reference>
          <reference field="6" count="1" selected="0">
            <x v="12"/>
          </reference>
        </references>
      </pivotArea>
    </chartFormat>
    <chartFormat chart="0" format="13" series="1">
      <pivotArea type="data" outline="0" fieldPosition="0">
        <references count="2">
          <reference field="4294967294" count="1" selected="0">
            <x v="0"/>
          </reference>
          <reference field="6" count="1" selected="0">
            <x v="13"/>
          </reference>
        </references>
      </pivotArea>
    </chartFormat>
    <chartFormat chart="0" format="14" series="1">
      <pivotArea type="data" outline="0" fieldPosition="0">
        <references count="2">
          <reference field="4294967294" count="1" selected="0">
            <x v="0"/>
          </reference>
          <reference field="6" count="1" selected="0">
            <x v="14"/>
          </reference>
        </references>
      </pivotArea>
    </chartFormat>
    <chartFormat chart="0" format="15" series="1">
      <pivotArea type="data" outline="0" fieldPosition="0">
        <references count="2">
          <reference field="4294967294" count="1" selected="0">
            <x v="0"/>
          </reference>
          <reference field="6" count="1" selected="0">
            <x v="15"/>
          </reference>
        </references>
      </pivotArea>
    </chartFormat>
    <chartFormat chart="0" format="16" series="1">
      <pivotArea type="data" outline="0" fieldPosition="0">
        <references count="2">
          <reference field="4294967294" count="1" selected="0">
            <x v="0"/>
          </reference>
          <reference field="6" count="1" selected="0">
            <x v="16"/>
          </reference>
        </references>
      </pivotArea>
    </chartFormat>
    <chartFormat chart="0" format="17" series="1">
      <pivotArea type="data" outline="0" fieldPosition="0">
        <references count="2">
          <reference field="4294967294" count="1" selected="0">
            <x v="0"/>
          </reference>
          <reference field="6" count="1" selected="0">
            <x v="17"/>
          </reference>
        </references>
      </pivotArea>
    </chartFormat>
    <chartFormat chart="0" format="18" series="1">
      <pivotArea type="data" outline="0" fieldPosition="0">
        <references count="2">
          <reference field="4294967294" count="1" selected="0">
            <x v="0"/>
          </reference>
          <reference field="6" count="1" selected="0">
            <x v="18"/>
          </reference>
        </references>
      </pivotArea>
    </chartFormat>
    <chartFormat chart="0" format="19" series="1">
      <pivotArea type="data" outline="0" fieldPosition="0">
        <references count="2">
          <reference field="4294967294" count="1" selected="0">
            <x v="0"/>
          </reference>
          <reference field="6" count="1" selected="0">
            <x v="19"/>
          </reference>
        </references>
      </pivotArea>
    </chartFormat>
    <chartFormat chart="0" format="20" series="1">
      <pivotArea type="data" outline="0" fieldPosition="0">
        <references count="2">
          <reference field="4294967294" count="1" selected="0">
            <x v="0"/>
          </reference>
          <reference field="6" count="1" selected="0">
            <x v="20"/>
          </reference>
        </references>
      </pivotArea>
    </chartFormat>
    <chartFormat chart="0" format="21" series="1">
      <pivotArea type="data" outline="0" fieldPosition="0">
        <references count="2">
          <reference field="4294967294" count="1" selected="0">
            <x v="0"/>
          </reference>
          <reference field="6" count="1" selected="0">
            <x v="21"/>
          </reference>
        </references>
      </pivotArea>
    </chartFormat>
    <chartFormat chart="0" format="22" series="1">
      <pivotArea type="data" outline="0" fieldPosition="0">
        <references count="2">
          <reference field="4294967294" count="1" selected="0">
            <x v="0"/>
          </reference>
          <reference field="6" count="1" selected="0">
            <x v="22"/>
          </reference>
        </references>
      </pivotArea>
    </chartFormat>
    <chartFormat chart="0" format="23" series="1">
      <pivotArea type="data" outline="0" fieldPosition="0">
        <references count="2">
          <reference field="4294967294" count="1" selected="0">
            <x v="0"/>
          </reference>
          <reference field="6" count="1" selected="0">
            <x v="23"/>
          </reference>
        </references>
      </pivotArea>
    </chartFormat>
    <chartFormat chart="0" format="24" series="1">
      <pivotArea type="data" outline="0" fieldPosition="0">
        <references count="2">
          <reference field="4294967294" count="1" selected="0">
            <x v="0"/>
          </reference>
          <reference field="6" count="1" selected="0">
            <x v="24"/>
          </reference>
        </references>
      </pivotArea>
    </chartFormat>
    <chartFormat chart="0" format="25" series="1">
      <pivotArea type="data" outline="0" fieldPosition="0">
        <references count="2">
          <reference field="4294967294" count="1" selected="0">
            <x v="0"/>
          </reference>
          <reference field="6" count="1" selected="0">
            <x v="25"/>
          </reference>
        </references>
      </pivotArea>
    </chartFormat>
    <chartFormat chart="0" format="26" series="1">
      <pivotArea type="data" outline="0" fieldPosition="0">
        <references count="2">
          <reference field="4294967294" count="1" selected="0">
            <x v="0"/>
          </reference>
          <reference field="6" count="1" selected="0">
            <x v="26"/>
          </reference>
        </references>
      </pivotArea>
    </chartFormat>
    <chartFormat chart="0" format="27" series="1">
      <pivotArea type="data" outline="0" fieldPosition="0">
        <references count="2">
          <reference field="4294967294" count="1" selected="0">
            <x v="0"/>
          </reference>
          <reference field="6" count="1" selected="0">
            <x v="27"/>
          </reference>
        </references>
      </pivotArea>
    </chartFormat>
    <chartFormat chart="0" format="28" series="1">
      <pivotArea type="data" outline="0" fieldPosition="0">
        <references count="2">
          <reference field="4294967294" count="1" selected="0">
            <x v="0"/>
          </reference>
          <reference field="6" count="1" selected="0">
            <x v="28"/>
          </reference>
        </references>
      </pivotArea>
    </chartFormat>
    <chartFormat chart="0" format="29" series="1">
      <pivotArea type="data" outline="0" fieldPosition="0">
        <references count="2">
          <reference field="4294967294" count="1" selected="0">
            <x v="0"/>
          </reference>
          <reference field="6" count="1" selected="0">
            <x v="29"/>
          </reference>
        </references>
      </pivotArea>
    </chartFormat>
    <chartFormat chart="0" format="30" series="1">
      <pivotArea type="data" outline="0" fieldPosition="0">
        <references count="2">
          <reference field="4294967294" count="1" selected="0">
            <x v="0"/>
          </reference>
          <reference field="6" count="1" selected="0">
            <x v="30"/>
          </reference>
        </references>
      </pivotArea>
    </chartFormat>
    <chartFormat chart="0" format="31" series="1">
      <pivotArea type="data" outline="0" fieldPosition="0">
        <references count="2">
          <reference field="4294967294" count="1" selected="0">
            <x v="0"/>
          </reference>
          <reference field="6" count="1" selected="0">
            <x v="31"/>
          </reference>
        </references>
      </pivotArea>
    </chartFormat>
    <chartFormat chart="0" format="32" series="1">
      <pivotArea type="data" outline="0" fieldPosition="0">
        <references count="2">
          <reference field="4294967294" count="1" selected="0">
            <x v="0"/>
          </reference>
          <reference field="6" count="1" selected="0">
            <x v="32"/>
          </reference>
        </references>
      </pivotArea>
    </chartFormat>
    <chartFormat chart="0" format="33" series="1">
      <pivotArea type="data" outline="0" fieldPosition="0">
        <references count="2">
          <reference field="4294967294" count="1" selected="0">
            <x v="0"/>
          </reference>
          <reference field="6" count="1" selected="0">
            <x v="33"/>
          </reference>
        </references>
      </pivotArea>
    </chartFormat>
    <chartFormat chart="0" format="34" series="1">
      <pivotArea type="data" outline="0" fieldPosition="0">
        <references count="2">
          <reference field="4294967294" count="1" selected="0">
            <x v="0"/>
          </reference>
          <reference field="6" count="1" selected="0">
            <x v="34"/>
          </reference>
        </references>
      </pivotArea>
    </chartFormat>
    <chartFormat chart="0" format="35" series="1">
      <pivotArea type="data" outline="0" fieldPosition="0">
        <references count="2">
          <reference field="4294967294" count="1" selected="0">
            <x v="0"/>
          </reference>
          <reference field="6" count="1" selected="0">
            <x v="35"/>
          </reference>
        </references>
      </pivotArea>
    </chartFormat>
    <chartFormat chart="0" format="36" series="1">
      <pivotArea type="data" outline="0" fieldPosition="0">
        <references count="2">
          <reference field="4294967294" count="1" selected="0">
            <x v="0"/>
          </reference>
          <reference field="6" count="1" selected="0">
            <x v="36"/>
          </reference>
        </references>
      </pivotArea>
    </chartFormat>
    <chartFormat chart="0" format="37" series="1">
      <pivotArea type="data" outline="0" fieldPosition="0">
        <references count="2">
          <reference field="4294967294" count="1" selected="0">
            <x v="0"/>
          </reference>
          <reference field="6" count="1" selected="0">
            <x v="37"/>
          </reference>
        </references>
      </pivotArea>
    </chartFormat>
    <chartFormat chart="0" format="38" series="1">
      <pivotArea type="data" outline="0" fieldPosition="0">
        <references count="2">
          <reference field="4294967294" count="1" selected="0">
            <x v="0"/>
          </reference>
          <reference field="6" count="1" selected="0">
            <x v="38"/>
          </reference>
        </references>
      </pivotArea>
    </chartFormat>
    <chartFormat chart="0" format="39" series="1">
      <pivotArea type="data" outline="0" fieldPosition="0">
        <references count="2">
          <reference field="4294967294" count="1" selected="0">
            <x v="0"/>
          </reference>
          <reference field="6" count="1" selected="0">
            <x v="39"/>
          </reference>
        </references>
      </pivotArea>
    </chartFormat>
    <chartFormat chart="0" format="40" series="1">
      <pivotArea type="data" outline="0" fieldPosition="0">
        <references count="2">
          <reference field="4294967294" count="1" selected="0">
            <x v="0"/>
          </reference>
          <reference field="6" count="1" selected="0">
            <x v="40"/>
          </reference>
        </references>
      </pivotArea>
    </chartFormat>
    <chartFormat chart="0" format="41" series="1">
      <pivotArea type="data" outline="0" fieldPosition="0">
        <references count="2">
          <reference field="4294967294" count="1" selected="0">
            <x v="0"/>
          </reference>
          <reference field="6" count="1" selected="0">
            <x v="41"/>
          </reference>
        </references>
      </pivotArea>
    </chartFormat>
    <chartFormat chart="0" format="42" series="1">
      <pivotArea type="data" outline="0" fieldPosition="0">
        <references count="2">
          <reference field="4294967294" count="1" selected="0">
            <x v="0"/>
          </reference>
          <reference field="6" count="1" selected="0">
            <x v="42"/>
          </reference>
        </references>
      </pivotArea>
    </chartFormat>
    <chartFormat chart="0" format="43" series="1">
      <pivotArea type="data" outline="0" fieldPosition="0">
        <references count="2">
          <reference field="4294967294" count="1" selected="0">
            <x v="0"/>
          </reference>
          <reference field="6" count="1" selected="0">
            <x v="43"/>
          </reference>
        </references>
      </pivotArea>
    </chartFormat>
    <chartFormat chart="0" format="44" series="1">
      <pivotArea type="data" outline="0" fieldPosition="0">
        <references count="2">
          <reference field="4294967294" count="1" selected="0">
            <x v="0"/>
          </reference>
          <reference field="6" count="1" selected="0">
            <x v="44"/>
          </reference>
        </references>
      </pivotArea>
    </chartFormat>
    <chartFormat chart="0" format="45" series="1">
      <pivotArea type="data" outline="0" fieldPosition="0">
        <references count="2">
          <reference field="4294967294" count="1" selected="0">
            <x v="0"/>
          </reference>
          <reference field="6" count="1" selected="0">
            <x v="45"/>
          </reference>
        </references>
      </pivotArea>
    </chartFormat>
    <chartFormat chart="0" format="46" series="1">
      <pivotArea type="data" outline="0" fieldPosition="0">
        <references count="2">
          <reference field="4294967294" count="1" selected="0">
            <x v="0"/>
          </reference>
          <reference field="6" count="1" selected="0">
            <x v="46"/>
          </reference>
        </references>
      </pivotArea>
    </chartFormat>
    <chartFormat chart="0" format="47" series="1">
      <pivotArea type="data" outline="0" fieldPosition="0">
        <references count="2">
          <reference field="4294967294" count="1" selected="0">
            <x v="0"/>
          </reference>
          <reference field="6" count="1" selected="0">
            <x v="4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763B31D-EE7D-4090-B31B-195FFB58FC60}"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22:B227" firstHeaderRow="1" firstDataRow="1" firstDataCol="1"/>
  <pivotFields count="15">
    <pivotField showAll="0"/>
    <pivotField showAll="0"/>
    <pivotField showAll="0"/>
    <pivotField showAll="0"/>
    <pivotField showAll="0"/>
    <pivotField showAll="0"/>
    <pivotField showAll="0"/>
    <pivotField showAll="0"/>
    <pivotField showAll="0"/>
    <pivotField numFmtId="14" showAll="0"/>
    <pivotField axis="axisRow" showAll="0">
      <items count="5">
        <item x="3"/>
        <item x="1"/>
        <item x="2"/>
        <item x="0"/>
        <item t="default"/>
      </items>
    </pivotField>
    <pivotField dataField="1" showAll="0"/>
    <pivotField showAll="0"/>
    <pivotField showAll="0"/>
    <pivotField showAll="0"/>
  </pivotFields>
  <rowFields count="1">
    <field x="10"/>
  </rowFields>
  <rowItems count="5">
    <i>
      <x/>
    </i>
    <i>
      <x v="1"/>
    </i>
    <i>
      <x v="2"/>
    </i>
    <i>
      <x v="3"/>
    </i>
    <i t="grand">
      <x/>
    </i>
  </rowItems>
  <colItems count="1">
    <i/>
  </colItems>
  <dataFields count="1">
    <dataField name="Sum of Loan_Amount" fld="11" baseField="0" baseItem="0"/>
  </dataFields>
  <chartFormats count="6">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0" count="1" selected="0">
            <x v="0"/>
          </reference>
        </references>
      </pivotArea>
    </chartFormat>
    <chartFormat chart="1" format="2">
      <pivotArea type="data" outline="0" fieldPosition="0">
        <references count="2">
          <reference field="4294967294" count="1" selected="0">
            <x v="0"/>
          </reference>
          <reference field="10" count="1" selected="0">
            <x v="1"/>
          </reference>
        </references>
      </pivotArea>
    </chartFormat>
    <chartFormat chart="1" format="3">
      <pivotArea type="data" outline="0" fieldPosition="0">
        <references count="2">
          <reference field="4294967294" count="1" selected="0">
            <x v="0"/>
          </reference>
          <reference field="10" count="1" selected="0">
            <x v="2"/>
          </reference>
        </references>
      </pivotArea>
    </chartFormat>
    <chartFormat chart="1" format="4">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4EFD662-DAE8-4C3E-8CA2-37746577E7AF}" name="PivotTable1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U5:V8" firstHeaderRow="1" firstDataRow="1" firstDataCol="1"/>
  <pivotFields count="2">
    <pivotField axis="axisRow" showAll="0">
      <items count="3">
        <item x="0"/>
        <item x="1"/>
        <item t="default"/>
      </items>
    </pivotField>
    <pivotField dataField="1" showAll="0"/>
  </pivotFields>
  <rowFields count="1">
    <field x="0"/>
  </rowFields>
  <rowItems count="3">
    <i>
      <x/>
    </i>
    <i>
      <x v="1"/>
    </i>
    <i t="grand">
      <x/>
    </i>
  </rowItems>
  <colItems count="1">
    <i/>
  </colItems>
  <dataFields count="1">
    <dataField name="Sum of Loan_Amount" fld="1" baseField="0" baseItem="0"/>
  </dataField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DBD8ECD-2964-4BED-B593-077B91EC7176}"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00:B205" firstHeaderRow="1" firstDataRow="1" firstDataCol="1"/>
  <pivotFields count="15">
    <pivotField showAll="0"/>
    <pivotField showAll="0"/>
    <pivotField showAll="0"/>
    <pivotField showAll="0"/>
    <pivotField showAll="0"/>
    <pivotField showAll="0"/>
    <pivotField axis="axisRow" showAll="0" measureFilter="1">
      <items count="49">
        <item x="26"/>
        <item x="33"/>
        <item x="22"/>
        <item x="46"/>
        <item x="38"/>
        <item x="2"/>
        <item x="15"/>
        <item x="19"/>
        <item x="36"/>
        <item x="1"/>
        <item x="25"/>
        <item x="40"/>
        <item x="29"/>
        <item x="17"/>
        <item x="3"/>
        <item x="27"/>
        <item x="21"/>
        <item x="20"/>
        <item x="42"/>
        <item x="0"/>
        <item x="37"/>
        <item x="23"/>
        <item x="9"/>
        <item x="4"/>
        <item x="10"/>
        <item x="41"/>
        <item x="32"/>
        <item x="13"/>
        <item x="30"/>
        <item x="14"/>
        <item x="6"/>
        <item x="45"/>
        <item x="7"/>
        <item x="47"/>
        <item x="11"/>
        <item x="5"/>
        <item x="24"/>
        <item x="16"/>
        <item x="44"/>
        <item x="12"/>
        <item x="8"/>
        <item x="39"/>
        <item x="31"/>
        <item x="18"/>
        <item x="43"/>
        <item x="28"/>
        <item x="34"/>
        <item x="35"/>
        <item t="default"/>
      </items>
    </pivotField>
    <pivotField dataField="1" showAll="0"/>
    <pivotField showAll="0"/>
    <pivotField numFmtId="14" showAll="0"/>
    <pivotField showAll="0"/>
    <pivotField showAll="0"/>
    <pivotField showAll="0"/>
    <pivotField showAll="0"/>
    <pivotField showAll="0"/>
  </pivotFields>
  <rowFields count="1">
    <field x="6"/>
  </rowFields>
  <rowItems count="5">
    <i>
      <x/>
    </i>
    <i>
      <x v="19"/>
    </i>
    <i>
      <x v="29"/>
    </i>
    <i>
      <x v="43"/>
    </i>
    <i t="grand">
      <x/>
    </i>
  </rowItems>
  <colItems count="1">
    <i/>
  </colItems>
  <dataFields count="1">
    <dataField name="Sum of Price" fld="7"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4" filterVal="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C1632A3-5A23-4FD4-BEE2-6889D05ABE52}"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5:F125" firstHeaderRow="1" firstDataRow="2" firstDataCol="1" rowPageCount="1" colPageCount="1"/>
  <pivotFields count="15">
    <pivotField showAll="0"/>
    <pivotField showAll="0"/>
    <pivotField axis="axisPage" showAll="0">
      <items count="15">
        <item x="6"/>
        <item x="7"/>
        <item x="8"/>
        <item x="10"/>
        <item x="0"/>
        <item x="3"/>
        <item x="11"/>
        <item x="5"/>
        <item x="12"/>
        <item x="13"/>
        <item x="9"/>
        <item x="1"/>
        <item x="2"/>
        <item x="4"/>
        <item t="default"/>
      </items>
    </pivotField>
    <pivotField showAll="0"/>
    <pivotField showAll="0"/>
    <pivotField showAll="0"/>
    <pivotField axis="axisRow" showAll="0">
      <items count="49">
        <item x="26"/>
        <item x="33"/>
        <item x="22"/>
        <item x="46"/>
        <item x="38"/>
        <item x="2"/>
        <item x="15"/>
        <item x="19"/>
        <item x="36"/>
        <item x="1"/>
        <item x="25"/>
        <item x="40"/>
        <item x="29"/>
        <item x="17"/>
        <item x="3"/>
        <item x="27"/>
        <item x="21"/>
        <item x="20"/>
        <item x="42"/>
        <item x="0"/>
        <item x="37"/>
        <item x="23"/>
        <item x="9"/>
        <item x="4"/>
        <item x="10"/>
        <item x="41"/>
        <item x="32"/>
        <item x="13"/>
        <item x="30"/>
        <item x="14"/>
        <item x="6"/>
        <item x="45"/>
        <item x="7"/>
        <item x="47"/>
        <item x="11"/>
        <item x="5"/>
        <item x="24"/>
        <item x="16"/>
        <item x="44"/>
        <item x="12"/>
        <item x="8"/>
        <item x="39"/>
        <item x="31"/>
        <item x="18"/>
        <item x="43"/>
        <item x="28"/>
        <item x="34"/>
        <item x="35"/>
        <item t="default"/>
      </items>
    </pivotField>
    <pivotField showAll="0"/>
    <pivotField showAll="0"/>
    <pivotField numFmtId="14" showAll="0"/>
    <pivotField axis="axisCol" showAll="0">
      <items count="5">
        <item x="3"/>
        <item x="1"/>
        <item x="2"/>
        <item x="0"/>
        <item t="default"/>
      </items>
    </pivotField>
    <pivotField dataField="1" showAll="0"/>
    <pivotField showAll="0"/>
    <pivotField showAll="0"/>
    <pivotField showAll="0"/>
  </pivotFields>
  <rowFields count="1">
    <field x="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10"/>
  </colFields>
  <colItems count="5">
    <i>
      <x/>
    </i>
    <i>
      <x v="1"/>
    </i>
    <i>
      <x v="2"/>
    </i>
    <i>
      <x v="3"/>
    </i>
    <i t="grand">
      <x/>
    </i>
  </colItems>
  <pageFields count="1">
    <pageField fld="2" hier="-1"/>
  </pageFields>
  <dataFields count="1">
    <dataField name="Sum of Loan_Amoun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19B6410-6FD4-4FAC-80D9-6DD26D3710D1}" name="PivotTable1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E2:AE3" firstHeaderRow="1" firstDataRow="1" firstDataCol="0"/>
  <pivotFields count="9">
    <pivotField showAll="0"/>
    <pivotField showAll="0"/>
    <pivotField showAll="0"/>
    <pivotField showAll="0"/>
    <pivotField showAll="0"/>
    <pivotField showAll="0"/>
    <pivotField showAll="0"/>
    <pivotField dataField="1" showAll="0"/>
    <pivotField showAll="0"/>
  </pivotFields>
  <rowItems count="1">
    <i/>
  </rowItems>
  <colItems count="1">
    <i/>
  </colItems>
  <dataFields count="1">
    <dataField name="Sum of Sales"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B07C4F3-DB4C-441E-9784-10F8DAB1D419}"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R2:T7" firstHeaderRow="0" firstDataRow="1" firstDataCol="1"/>
  <pivotFields count="9">
    <pivotField showAll="0"/>
    <pivotField showAll="0"/>
    <pivotField showAll="0"/>
    <pivotField showAll="0"/>
    <pivotField showAll="0">
      <items count="3">
        <item x="1"/>
        <item x="0"/>
        <item t="default"/>
      </items>
    </pivotField>
    <pivotField axis="axisRow" showAll="0">
      <items count="5">
        <item x="3"/>
        <item x="0"/>
        <item x="1"/>
        <item x="2"/>
        <item t="default"/>
      </items>
    </pivotField>
    <pivotField showAll="0"/>
    <pivotField dataField="1" showAll="0"/>
    <pivotField dataField="1" showAll="0"/>
  </pivotFields>
  <rowFields count="1">
    <field x="5"/>
  </rowFields>
  <rowItems count="5">
    <i>
      <x/>
    </i>
    <i>
      <x v="1"/>
    </i>
    <i>
      <x v="2"/>
    </i>
    <i>
      <x v="3"/>
    </i>
    <i t="grand">
      <x/>
    </i>
  </rowItems>
  <colFields count="1">
    <field x="-2"/>
  </colFields>
  <colItems count="2">
    <i>
      <x/>
    </i>
    <i i="1">
      <x v="1"/>
    </i>
  </colItems>
  <dataFields count="2">
    <dataField name="Sum of Sales" fld="7" baseField="0" baseItem="0"/>
    <dataField name="Sum of Profit" fld="8" baseField="0" baseItem="0"/>
  </dataField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0" format="5"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76EB012-39BB-412B-9CE2-F796ABF16012}"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L30:M59" firstHeaderRow="1" firstDataRow="1" firstDataCol="1"/>
  <pivotFields count="9">
    <pivotField showAll="0"/>
    <pivotField showAll="0"/>
    <pivotField showAll="0"/>
    <pivotField showAll="0"/>
    <pivotField showAll="0"/>
    <pivotField showAll="0"/>
    <pivotField axis="axisRow" showAll="0">
      <items count="29">
        <item x="14"/>
        <item x="0"/>
        <item x="9"/>
        <item x="4"/>
        <item x="3"/>
        <item x="11"/>
        <item x="7"/>
        <item x="17"/>
        <item x="1"/>
        <item x="18"/>
        <item x="13"/>
        <item x="5"/>
        <item x="22"/>
        <item x="26"/>
        <item x="8"/>
        <item x="20"/>
        <item x="2"/>
        <item x="23"/>
        <item x="15"/>
        <item x="24"/>
        <item x="6"/>
        <item x="25"/>
        <item x="16"/>
        <item x="10"/>
        <item x="21"/>
        <item x="12"/>
        <item x="19"/>
        <item x="27"/>
        <item t="default"/>
      </items>
    </pivotField>
    <pivotField showAll="0"/>
    <pivotField dataField="1" showAll="0"/>
  </pivotFields>
  <rowFields count="1">
    <field x="6"/>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Sum of Profit" fld="8"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9B9912B-57EB-4334-A965-63CFB869C091}"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L1:N10" firstHeaderRow="0" firstDataRow="1" firstDataCol="1"/>
  <pivotFields count="9">
    <pivotField showAll="0"/>
    <pivotField axis="axisRow" showAll="0">
      <items count="9">
        <item x="0"/>
        <item x="1"/>
        <item x="2"/>
        <item x="3"/>
        <item x="4"/>
        <item x="5"/>
        <item x="6"/>
        <item x="7"/>
        <item t="default"/>
      </items>
    </pivotField>
    <pivotField showAll="0"/>
    <pivotField showAll="0"/>
    <pivotField showAll="0"/>
    <pivotField showAll="0"/>
    <pivotField showAll="0"/>
    <pivotField dataField="1" showAll="0"/>
    <pivotField dataField="1" showAll="0"/>
  </pivotFields>
  <rowFields count="1">
    <field x="1"/>
  </rowFields>
  <rowItems count="9">
    <i>
      <x/>
    </i>
    <i>
      <x v="1"/>
    </i>
    <i>
      <x v="2"/>
    </i>
    <i>
      <x v="3"/>
    </i>
    <i>
      <x v="4"/>
    </i>
    <i>
      <x v="5"/>
    </i>
    <i>
      <x v="6"/>
    </i>
    <i>
      <x v="7"/>
    </i>
    <i t="grand">
      <x/>
    </i>
  </rowItems>
  <colFields count="1">
    <field x="-2"/>
  </colFields>
  <colItems count="2">
    <i>
      <x/>
    </i>
    <i i="1">
      <x v="1"/>
    </i>
  </colItems>
  <dataFields count="2">
    <dataField name="Sum of Sales" fld="7" baseField="0" baseItem="0"/>
    <dataField name="Sum of Profit" fld="8" baseField="0" baseItem="0"/>
  </dataField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1A93F11-4D18-4904-9F03-7443FC2956C9}" name="PivotTable1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G2:AG3" firstHeaderRow="1" firstDataRow="1" firstDataCol="0"/>
  <pivotFields count="9">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Sum of Profi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30E6723-403E-4552-BD46-62E01A0CAC8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F8" firstHeaderRow="1" firstDataRow="2" firstDataCol="1"/>
  <pivotFields count="11">
    <pivotField showAll="0"/>
    <pivotField numFmtId="15" showAll="0">
      <items count="21">
        <item x="0"/>
        <item x="1"/>
        <item x="2"/>
        <item x="3"/>
        <item x="4"/>
        <item x="5"/>
        <item x="6"/>
        <item x="7"/>
        <item x="8"/>
        <item x="9"/>
        <item x="10"/>
        <item x="11"/>
        <item x="12"/>
        <item x="13"/>
        <item x="14"/>
        <item x="15"/>
        <item x="16"/>
        <item x="17"/>
        <item x="18"/>
        <item x="19"/>
        <item t="default"/>
      </items>
    </pivotField>
    <pivotField axis="axisCol" showAll="0">
      <items count="5">
        <item x="2"/>
        <item x="0"/>
        <item x="1"/>
        <item x="3"/>
        <item t="default"/>
      </items>
    </pivotField>
    <pivotField showAll="0"/>
    <pivotField axis="axisRow" showAll="0">
      <items count="4">
        <item x="0"/>
        <item x="1"/>
        <item x="2"/>
        <item t="default"/>
      </items>
    </pivotField>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4">
    <i>
      <x/>
    </i>
    <i>
      <x v="1"/>
    </i>
    <i>
      <x v="2"/>
    </i>
    <i t="grand">
      <x/>
    </i>
  </rowItems>
  <colFields count="1">
    <field x="2"/>
  </colFields>
  <colItems count="5">
    <i>
      <x/>
    </i>
    <i>
      <x v="1"/>
    </i>
    <i>
      <x v="2"/>
    </i>
    <i>
      <x v="3"/>
    </i>
    <i t="grand">
      <x/>
    </i>
  </colItems>
  <dataFields count="1">
    <dataField name="Sum of Sales" fld="8" baseField="0" baseItem="0"/>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4786572-CDB6-4F01-BEF2-803E5FAD352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9" firstHeaderRow="1" firstDataRow="2" firstDataCol="1"/>
  <pivotFields count="11">
    <pivotField showAll="0"/>
    <pivotField numFmtId="15" showAll="0">
      <items count="21">
        <item x="0"/>
        <item x="1"/>
        <item x="2"/>
        <item x="3"/>
        <item x="4"/>
        <item x="5"/>
        <item x="6"/>
        <item x="7"/>
        <item x="8"/>
        <item x="9"/>
        <item x="10"/>
        <item x="11"/>
        <item x="12"/>
        <item x="13"/>
        <item x="14"/>
        <item x="15"/>
        <item x="16"/>
        <item x="17"/>
        <item x="18"/>
        <item x="19"/>
        <item t="default"/>
      </items>
    </pivotField>
    <pivotField axis="axisCol" showAll="0">
      <items count="5">
        <item x="2"/>
        <item x="0"/>
        <item x="1"/>
        <item x="3"/>
        <item t="default"/>
      </items>
    </pivotField>
    <pivotField axis="axisRow" showAll="0">
      <items count="5">
        <item x="0"/>
        <item x="3"/>
        <item x="1"/>
        <item x="2"/>
        <item t="default"/>
      </items>
    </pivotField>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Fields count="1">
    <field x="2"/>
  </colFields>
  <colItems count="5">
    <i>
      <x/>
    </i>
    <i>
      <x v="1"/>
    </i>
    <i>
      <x v="2"/>
    </i>
    <i>
      <x v="3"/>
    </i>
    <i t="grand">
      <x/>
    </i>
  </colItems>
  <dataFields count="1">
    <dataField name="Count of Sales" fld="8"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AD1ED10-0A5E-4B5A-9D73-B6140537C2C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5" firstHeaderRow="1" firstDataRow="2" firstDataCol="1"/>
  <pivotFields count="11">
    <pivotField showAll="0"/>
    <pivotField numFmtId="15" showAll="0">
      <items count="21">
        <item x="0"/>
        <item x="1"/>
        <item x="2"/>
        <item x="3"/>
        <item x="4"/>
        <item x="5"/>
        <item x="6"/>
        <item x="7"/>
        <item x="8"/>
        <item x="9"/>
        <item x="10"/>
        <item x="11"/>
        <item x="12"/>
        <item x="13"/>
        <item x="14"/>
        <item x="15"/>
        <item x="16"/>
        <item x="17"/>
        <item x="18"/>
        <item x="19"/>
        <item t="default"/>
      </items>
    </pivotField>
    <pivotField showAll="0"/>
    <pivotField showAll="0"/>
    <pivotField axis="axisCol" showAll="0">
      <items count="4">
        <item x="0"/>
        <item x="1"/>
        <item x="2"/>
        <item t="default"/>
      </items>
    </pivotField>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4"/>
  </colFields>
  <colItems count="4">
    <i>
      <x/>
    </i>
    <i>
      <x v="1"/>
    </i>
    <i>
      <x v="2"/>
    </i>
    <i t="grand">
      <x/>
    </i>
  </colItems>
  <dataFields count="1">
    <dataField name="Max of Sales" fld="8" subtotal="max"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33AAB6B-014B-4F76-9ACB-10B3350474D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7" firstHeaderRow="1" firstDataRow="2" firstDataCol="1"/>
  <pivotFields count="11">
    <pivotField showAll="0"/>
    <pivotField numFmtId="15" showAll="0">
      <items count="21">
        <item x="0"/>
        <item x="1"/>
        <item x="2"/>
        <item x="3"/>
        <item x="4"/>
        <item x="5"/>
        <item x="6"/>
        <item x="7"/>
        <item x="8"/>
        <item x="9"/>
        <item x="10"/>
        <item x="11"/>
        <item x="12"/>
        <item x="13"/>
        <item x="14"/>
        <item x="15"/>
        <item x="16"/>
        <item x="17"/>
        <item x="18"/>
        <item x="19"/>
        <item t="default"/>
      </items>
    </pivotField>
    <pivotField axis="axisCol" showAll="0">
      <items count="5">
        <item x="2"/>
        <item x="0"/>
        <item x="1"/>
        <item x="3"/>
        <item t="default"/>
      </items>
    </pivotField>
    <pivotField showAll="0"/>
    <pivotField showAll="0"/>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3">
    <i>
      <x v="1"/>
    </i>
    <i>
      <x v="2"/>
    </i>
    <i t="grand">
      <x/>
    </i>
  </rowItems>
  <colFields count="1">
    <field x="2"/>
  </colFields>
  <colItems count="5">
    <i>
      <x/>
    </i>
    <i>
      <x v="1"/>
    </i>
    <i>
      <x v="2"/>
    </i>
    <i>
      <x v="3"/>
    </i>
    <i t="grand">
      <x/>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66C78DF7-7224-461E-95BB-EF225B5E44F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6" firstHeaderRow="1" firstDataRow="2" firstDataCol="1" rowPageCount="1" colPageCount="1"/>
  <pivotFields count="11">
    <pivotField showAll="0"/>
    <pivotField numFmtId="15"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0"/>
        <item x="1"/>
        <item x="3"/>
        <item t="default"/>
      </items>
    </pivotField>
    <pivotField axis="axisPage" showAll="0">
      <items count="5">
        <item x="0"/>
        <item x="3"/>
        <item x="1"/>
        <item x="2"/>
        <item t="default"/>
      </items>
    </pivotField>
    <pivotField axis="axisCol" showAll="0">
      <items count="4">
        <item x="0"/>
        <item x="1"/>
        <item x="2"/>
        <item t="default"/>
      </items>
    </pivotField>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2">
    <i>
      <x v="1"/>
    </i>
    <i t="grand">
      <x/>
    </i>
  </rowItems>
  <colFields count="1">
    <field x="4"/>
  </colFields>
  <colItems count="4">
    <i>
      <x/>
    </i>
    <i>
      <x v="1"/>
    </i>
    <i>
      <x v="2"/>
    </i>
    <i t="grand">
      <x/>
    </i>
  </colItems>
  <pageFields count="1">
    <pageField fld="3" item="0" hier="-1"/>
  </pageFields>
  <dataFields count="1">
    <dataField name="Sum of Sales" fld="8" baseField="2"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80F59BDE-17FD-4925-AE10-B9E274A5C726}" name="PivotTable20"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O5:AP18" firstHeaderRow="1" firstDataRow="1" firstDataCol="1"/>
  <pivotFields count="15">
    <pivotField showAll="0"/>
    <pivotField numFmtId="15" showAll="0">
      <items count="14">
        <item x="1"/>
        <item x="3"/>
        <item x="5"/>
        <item x="6"/>
        <item x="8"/>
        <item x="12"/>
        <item x="0"/>
        <item x="2"/>
        <item x="4"/>
        <item x="7"/>
        <item x="9"/>
        <item x="10"/>
        <item x="11"/>
        <item t="default"/>
      </items>
    </pivotField>
    <pivotField showAll="0"/>
    <pivotField showAll="0"/>
    <pivotField showAll="0"/>
    <pivotField axis="axisRow" showAll="0">
      <items count="14">
        <item x="12"/>
        <item x="1"/>
        <item x="11"/>
        <item x="7"/>
        <item x="0"/>
        <item x="9"/>
        <item x="2"/>
        <item x="4"/>
        <item x="10"/>
        <item x="3"/>
        <item x="5"/>
        <item x="8"/>
        <item x="6"/>
        <item t="default"/>
      </items>
    </pivotField>
    <pivotField showAll="0"/>
    <pivotField numFmtId="167" showAll="0"/>
    <pivotField numFmtId="168" showAll="0"/>
    <pivotField dataField="1" numFmtId="168" showAll="0"/>
    <pivotField numFmtId="9"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13">
    <i>
      <x/>
    </i>
    <i>
      <x v="1"/>
    </i>
    <i>
      <x v="2"/>
    </i>
    <i>
      <x v="3"/>
    </i>
    <i>
      <x v="4"/>
    </i>
    <i>
      <x v="5"/>
    </i>
    <i>
      <x v="6"/>
    </i>
    <i>
      <x v="7"/>
    </i>
    <i>
      <x v="8"/>
    </i>
    <i>
      <x v="9"/>
    </i>
    <i>
      <x v="10"/>
    </i>
    <i>
      <x v="11"/>
    </i>
    <i>
      <x v="12"/>
    </i>
  </rowItems>
  <colItems count="1">
    <i/>
  </colItems>
  <dataFields count="1">
    <dataField name="Sum of Profit" fld="9" baseField="0" baseItem="0" numFmtId="168"/>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2B9C187A-991A-4CBF-B7F5-79D42FD1DD1F}" name="PivotTable1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C5:AD19" firstHeaderRow="1" firstDataRow="1" firstDataCol="1"/>
  <pivotFields count="15">
    <pivotField showAll="0"/>
    <pivotField numFmtId="15" showAll="0">
      <items count="14">
        <item x="1"/>
        <item x="3"/>
        <item x="5"/>
        <item x="6"/>
        <item x="8"/>
        <item x="12"/>
        <item x="0"/>
        <item x="2"/>
        <item x="4"/>
        <item x="7"/>
        <item x="9"/>
        <item x="10"/>
        <item x="11"/>
        <item t="default"/>
      </items>
    </pivotField>
    <pivotField showAll="0"/>
    <pivotField showAll="0"/>
    <pivotField showAll="0"/>
    <pivotField showAll="0"/>
    <pivotField showAll="0"/>
    <pivotField dataField="1" numFmtId="167" showAll="0"/>
    <pivotField numFmtId="168" showAll="0"/>
    <pivotField numFmtId="168" showAll="0"/>
    <pivotField numFmtId="9" showAll="0"/>
    <pivotField showAll="0"/>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13"/>
  </rowFields>
  <rowItems count="14">
    <i>
      <x v="9"/>
    </i>
    <i>
      <x v="10"/>
    </i>
    <i>
      <x v="11"/>
    </i>
    <i>
      <x v="12"/>
    </i>
    <i>
      <x v="14"/>
    </i>
    <i>
      <x v="17"/>
    </i>
    <i>
      <x v="39"/>
    </i>
    <i>
      <x v="70"/>
    </i>
    <i>
      <x v="102"/>
    </i>
    <i>
      <x v="133"/>
    </i>
    <i>
      <x v="197"/>
    </i>
    <i>
      <x v="321"/>
    </i>
    <i>
      <x v="352"/>
    </i>
    <i t="grand">
      <x/>
    </i>
  </rowItems>
  <colItems count="1">
    <i/>
  </colItems>
  <dataFields count="1">
    <dataField name="Sum of Selling_Price" fld="7" baseField="0" baseItem="0" numFmtId="167"/>
  </dataField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208B0A2B-731D-4C56-9A2D-D6CCD661CABD}" name="PivotTable7"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X5:Y13" firstHeaderRow="1" firstDataRow="1" firstDataCol="1"/>
  <pivotFields count="15">
    <pivotField showAll="0"/>
    <pivotField numFmtId="15" showAll="0">
      <items count="14">
        <item x="1"/>
        <item x="3"/>
        <item x="5"/>
        <item x="6"/>
        <item x="8"/>
        <item x="12"/>
        <item x="0"/>
        <item x="2"/>
        <item x="4"/>
        <item x="7"/>
        <item x="9"/>
        <item x="10"/>
        <item x="11"/>
        <item t="default"/>
      </items>
    </pivotField>
    <pivotField showAll="0"/>
    <pivotField showAll="0"/>
    <pivotField showAll="0"/>
    <pivotField showAll="0"/>
    <pivotField showAll="0"/>
    <pivotField showAll="0"/>
    <pivotField showAll="0"/>
    <pivotField dataField="1" numFmtId="168" showAll="0"/>
    <pivotField numFmtId="9"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4"/>
  </rowFields>
  <rowItems count="8">
    <i>
      <x v="1"/>
    </i>
    <i>
      <x v="2"/>
    </i>
    <i>
      <x v="3"/>
    </i>
    <i>
      <x v="4"/>
    </i>
    <i>
      <x v="5"/>
    </i>
    <i>
      <x v="7"/>
    </i>
    <i>
      <x v="11"/>
    </i>
    <i>
      <x v="12"/>
    </i>
  </rowItems>
  <colItems count="1">
    <i/>
  </colItems>
  <dataFields count="1">
    <dataField name="Sum of Profit" fld="9" baseField="0" baseItem="0" numFmtId="168"/>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ACDDED16-0C47-41E5-BBA4-96680B4111FA}" name="PivotTable2"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T5:V22" firstHeaderRow="1" firstDataRow="2" firstDataCol="1"/>
  <pivotFields count="15">
    <pivotField showAll="0"/>
    <pivotField numFmtId="15" showAll="0">
      <items count="14">
        <item x="1"/>
        <item x="3"/>
        <item x="5"/>
        <item x="6"/>
        <item x="8"/>
        <item x="12"/>
        <item x="0"/>
        <item x="2"/>
        <item x="4"/>
        <item x="7"/>
        <item x="9"/>
        <item x="10"/>
        <item x="11"/>
        <item t="default"/>
      </items>
    </pivotField>
    <pivotField showAll="0"/>
    <pivotField showAll="0"/>
    <pivotField showAll="0"/>
    <pivotField showAll="0"/>
    <pivotField showAll="0"/>
    <pivotField axis="axisRow" showAll="0">
      <items count="24">
        <item m="1" x="16"/>
        <item m="1" x="17"/>
        <item m="1" x="21"/>
        <item m="1" x="20"/>
        <item m="1" x="19"/>
        <item m="1" x="18"/>
        <item m="1" x="22"/>
        <item x="8"/>
        <item x="11"/>
        <item x="6"/>
        <item x="13"/>
        <item x="3"/>
        <item x="2"/>
        <item x="1"/>
        <item x="0"/>
        <item x="4"/>
        <item x="5"/>
        <item x="7"/>
        <item x="9"/>
        <item x="10"/>
        <item x="12"/>
        <item x="14"/>
        <item x="15"/>
        <item t="default"/>
      </items>
    </pivotField>
    <pivotField showAll="0"/>
    <pivotField numFmtId="168" showAll="0"/>
    <pivotField numFmtId="9" showAll="0"/>
    <pivotField axis="axisCol" dataField="1" showAll="0">
      <items count="3">
        <item x="0"/>
        <item x="1"/>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16">
    <i>
      <x v="7"/>
    </i>
    <i>
      <x v="8"/>
    </i>
    <i>
      <x v="9"/>
    </i>
    <i>
      <x v="10"/>
    </i>
    <i>
      <x v="11"/>
    </i>
    <i>
      <x v="12"/>
    </i>
    <i>
      <x v="13"/>
    </i>
    <i>
      <x v="14"/>
    </i>
    <i>
      <x v="15"/>
    </i>
    <i>
      <x v="16"/>
    </i>
    <i>
      <x v="17"/>
    </i>
    <i>
      <x v="18"/>
    </i>
    <i>
      <x v="19"/>
    </i>
    <i>
      <x v="20"/>
    </i>
    <i>
      <x v="21"/>
    </i>
    <i>
      <x v="22"/>
    </i>
  </rowItems>
  <colFields count="1">
    <field x="11"/>
  </colFields>
  <colItems count="2">
    <i>
      <x/>
    </i>
    <i>
      <x v="1"/>
    </i>
  </colItems>
  <dataFields count="1">
    <dataField name="Count of Order_Status" fld="11" subtotal="count" baseField="0" baseItem="0"/>
  </dataFields>
  <chartFormats count="2">
    <chartFormat chart="1" format="0" series="1">
      <pivotArea type="data" outline="0" fieldPosition="0">
        <references count="2">
          <reference field="4294967294" count="1" selected="0">
            <x v="0"/>
          </reference>
          <reference field="11" count="1" selected="0">
            <x v="0"/>
          </reference>
        </references>
      </pivotArea>
    </chartFormat>
    <chartFormat chart="1" format="1"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C4CA01F8-91A0-41F5-8A1C-78273635B47C}" name="PivotTable1"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O5:P18" firstHeaderRow="1" firstDataRow="1" firstDataCol="1"/>
  <pivotFields count="15">
    <pivotField showAll="0"/>
    <pivotField numFmtId="15" showAll="0">
      <items count="14">
        <item x="1"/>
        <item x="3"/>
        <item x="5"/>
        <item x="6"/>
        <item x="8"/>
        <item x="12"/>
        <item x="0"/>
        <item x="2"/>
        <item x="4"/>
        <item x="7"/>
        <item x="9"/>
        <item x="10"/>
        <item x="11"/>
        <item t="default"/>
      </items>
    </pivotField>
    <pivotField showAll="0"/>
    <pivotField showAll="0"/>
    <pivotField showAll="0"/>
    <pivotField axis="axisRow" showAll="0">
      <items count="14">
        <item x="12"/>
        <item x="1"/>
        <item x="11"/>
        <item x="7"/>
        <item x="0"/>
        <item x="9"/>
        <item x="2"/>
        <item x="4"/>
        <item x="10"/>
        <item x="3"/>
        <item x="5"/>
        <item x="8"/>
        <item x="6"/>
        <item t="default"/>
      </items>
    </pivotField>
    <pivotField showAll="0"/>
    <pivotField dataField="1" showAll="0"/>
    <pivotField showAll="0"/>
    <pivotField numFmtId="168" showAll="0"/>
    <pivotField numFmtId="9"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13">
    <i>
      <x/>
    </i>
    <i>
      <x v="1"/>
    </i>
    <i>
      <x v="2"/>
    </i>
    <i>
      <x v="3"/>
    </i>
    <i>
      <x v="4"/>
    </i>
    <i>
      <x v="5"/>
    </i>
    <i>
      <x v="6"/>
    </i>
    <i>
      <x v="7"/>
    </i>
    <i>
      <x v="8"/>
    </i>
    <i>
      <x v="9"/>
    </i>
    <i>
      <x v="10"/>
    </i>
    <i>
      <x v="11"/>
    </i>
    <i>
      <x v="12"/>
    </i>
  </rowItems>
  <colItems count="1">
    <i/>
  </colItems>
  <dataFields count="1">
    <dataField name="Sum of Selling_Price" fld="7" baseField="0" baseItem="0"/>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0167DDF-65FA-4B63-BB38-A9F2DD9EC7F4}" sourceName="Category">
  <pivotTables>
    <pivotTable tabId="18" name="PivotTable3"/>
  </pivotTables>
  <data>
    <tabular pivotCacheId="112173857">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D0E8AFF-514E-4CEB-ABCF-2FA817DB36B7}" sourceName="Region">
  <pivotTables>
    <pivotTable tabId="18" name="PivotTable3"/>
  </pivotTables>
  <data>
    <tabular pivotCacheId="112173857">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50C7EA4-782F-4994-9560-0659955A9D15}" cache="Slicer_Category" caption="Category" rowHeight="254906"/>
  <slicer name="Region" xr10:uid="{5BE7DD18-1052-49BF-A1AF-277C4EA1EB57}" cache="Slicer_Region" caption="Region" rowHeight="25490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8.xml.rels><?xml version="1.0" encoding="UTF-8" standalone="yes"?>
<Relationships xmlns="http://schemas.openxmlformats.org/package/2006/relationships"><Relationship Id="rId2" Type="http://schemas.openxmlformats.org/officeDocument/2006/relationships/hyperlink" Target="mailto:XYZ@YAHOON.COM" TargetMode="External"/><Relationship Id="rId1" Type="http://schemas.openxmlformats.org/officeDocument/2006/relationships/hyperlink" Target="mailto:ABC@GMAIL.COM"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mailto:ASHA@GMAIL.com"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11.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10" Type="http://schemas.openxmlformats.org/officeDocument/2006/relationships/drawing" Target="../drawings/drawing2.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13.xml"/><Relationship Id="rId7" Type="http://schemas.microsoft.com/office/2007/relationships/slicer" Target="../slicers/slicer1.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drawing" Target="../drawings/drawing3.xml"/><Relationship Id="rId5" Type="http://schemas.openxmlformats.org/officeDocument/2006/relationships/pivotTable" Target="../pivotTables/pivotTable15.xml"/><Relationship Id="rId4" Type="http://schemas.openxmlformats.org/officeDocument/2006/relationships/pivotTable" Target="../pivotTables/pivotTable14.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6.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7.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8.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9.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20.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0.xml.rels><?xml version="1.0" encoding="UTF-8" standalone="yes"?>
<Relationships xmlns="http://schemas.openxmlformats.org/package/2006/relationships"><Relationship Id="rId3" Type="http://schemas.openxmlformats.org/officeDocument/2006/relationships/pivotTable" Target="../pivotTables/pivotTable23.xml"/><Relationship Id="rId2" Type="http://schemas.openxmlformats.org/officeDocument/2006/relationships/pivotTable" Target="../pivotTables/pivotTable22.xml"/><Relationship Id="rId1" Type="http://schemas.openxmlformats.org/officeDocument/2006/relationships/pivotTable" Target="../pivotTables/pivotTable21.xml"/><Relationship Id="rId6" Type="http://schemas.openxmlformats.org/officeDocument/2006/relationships/drawing" Target="../drawings/drawing7.xml"/><Relationship Id="rId5" Type="http://schemas.openxmlformats.org/officeDocument/2006/relationships/pivotTable" Target="../pivotTables/pivotTable25.xml"/><Relationship Id="rId4" Type="http://schemas.openxmlformats.org/officeDocument/2006/relationships/pivotTable" Target="../pivotTables/pivotTable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8BD03-FC7C-406C-956F-E7A0C0462B84}">
  <dimension ref="A1:M14"/>
  <sheetViews>
    <sheetView workbookViewId="0">
      <selection activeCell="L6" sqref="L6"/>
    </sheetView>
  </sheetViews>
  <sheetFormatPr defaultRowHeight="14.6" x14ac:dyDescent="0.4"/>
  <cols>
    <col min="13" max="13" width="55.15234375" customWidth="1"/>
  </cols>
  <sheetData>
    <row r="1" spans="1:13" x14ac:dyDescent="0.4">
      <c r="A1" s="63" t="s">
        <v>0</v>
      </c>
      <c r="B1" s="63"/>
      <c r="C1" s="63"/>
      <c r="D1" s="63"/>
      <c r="E1" s="63"/>
      <c r="F1" s="63"/>
      <c r="G1" s="63"/>
      <c r="H1" s="63"/>
      <c r="I1" s="63"/>
      <c r="J1" s="63"/>
      <c r="K1" s="63"/>
    </row>
    <row r="2" spans="1:13" x14ac:dyDescent="0.4">
      <c r="A2" s="63"/>
      <c r="B2" s="63"/>
      <c r="C2" s="63"/>
      <c r="D2" s="63"/>
      <c r="E2" s="63"/>
      <c r="F2" s="63"/>
      <c r="G2" s="63"/>
      <c r="H2" s="63"/>
      <c r="I2" s="63"/>
      <c r="J2" s="63"/>
      <c r="K2" s="63"/>
    </row>
    <row r="3" spans="1:13" x14ac:dyDescent="0.4">
      <c r="A3" t="s">
        <v>1</v>
      </c>
      <c r="B3" t="s">
        <v>2</v>
      </c>
      <c r="C3" t="s">
        <v>3</v>
      </c>
      <c r="D3" t="s">
        <v>4</v>
      </c>
      <c r="E3" t="s">
        <v>5</v>
      </c>
      <c r="F3" t="s">
        <v>6</v>
      </c>
      <c r="G3" t="s">
        <v>7</v>
      </c>
      <c r="H3" t="s">
        <v>8</v>
      </c>
      <c r="I3" t="s">
        <v>9</v>
      </c>
      <c r="J3" t="s">
        <v>10</v>
      </c>
      <c r="K3" t="s">
        <v>11</v>
      </c>
      <c r="L3" t="s">
        <v>12</v>
      </c>
      <c r="M3" t="s">
        <v>13</v>
      </c>
    </row>
    <row r="4" spans="1:13" x14ac:dyDescent="0.4">
      <c r="C4">
        <v>99</v>
      </c>
      <c r="D4">
        <v>99</v>
      </c>
      <c r="E4">
        <v>99</v>
      </c>
      <c r="F4">
        <v>77</v>
      </c>
      <c r="G4">
        <v>78</v>
      </c>
      <c r="H4">
        <f>SUM(C4:G4)</f>
        <v>452</v>
      </c>
      <c r="I4">
        <f>MAX(C4:G4)</f>
        <v>99</v>
      </c>
      <c r="J4">
        <f>AVERAGE(C4:G4)</f>
        <v>90.4</v>
      </c>
      <c r="K4">
        <f>MIN(C4:G4)</f>
        <v>77</v>
      </c>
      <c r="L4" t="str">
        <f>IF(J4&gt;50,"PASS","FAIL")</f>
        <v>PASS</v>
      </c>
      <c r="M4" t="str">
        <f>IF(J4&gt;=90,"A",IF(J4&gt;=80,"B",IF(J4&gt;=70,"C",IF(J4&gt;70,"D",IF(J4&gt;60,"E",IF(J4&lt;60,"F"))))))</f>
        <v>A</v>
      </c>
    </row>
    <row r="5" spans="1:13" x14ac:dyDescent="0.4">
      <c r="C5">
        <v>99</v>
      </c>
      <c r="D5">
        <v>99</v>
      </c>
      <c r="E5">
        <v>99</v>
      </c>
      <c r="F5">
        <v>77</v>
      </c>
      <c r="G5">
        <v>78</v>
      </c>
      <c r="H5">
        <f t="shared" ref="H5:H14" si="0">SUM(C5:G5)</f>
        <v>452</v>
      </c>
      <c r="I5">
        <f t="shared" ref="I5:I14" si="1">MAX(C5:G5)</f>
        <v>99</v>
      </c>
      <c r="J5">
        <f t="shared" ref="J5:J14" si="2">AVERAGE(C5:G5)</f>
        <v>90.4</v>
      </c>
      <c r="K5">
        <f t="shared" ref="K5:K14" si="3">MIN(C5:G5)</f>
        <v>77</v>
      </c>
      <c r="L5" t="str">
        <f>IF(AND(C4&gt;40,D4&gt;40,E4&gt;40,F4&gt;40,G4&gt;40),"PASS","FAIL")</f>
        <v>PASS</v>
      </c>
    </row>
    <row r="6" spans="1:13" x14ac:dyDescent="0.4">
      <c r="H6">
        <f t="shared" si="0"/>
        <v>0</v>
      </c>
      <c r="I6">
        <f t="shared" si="1"/>
        <v>0</v>
      </c>
      <c r="J6" t="e">
        <f t="shared" si="2"/>
        <v>#DIV/0!</v>
      </c>
      <c r="K6">
        <f t="shared" si="3"/>
        <v>0</v>
      </c>
      <c r="L6" t="str">
        <f>IF(OR(C5&gt;=40,D5&gt;=40,E5&gt;=40,F5&gt;=40,G5&gt;=40),"PASS","FAIL")</f>
        <v>PASS</v>
      </c>
    </row>
    <row r="7" spans="1:13" x14ac:dyDescent="0.4">
      <c r="H7">
        <f t="shared" si="0"/>
        <v>0</v>
      </c>
      <c r="I7">
        <f t="shared" si="1"/>
        <v>0</v>
      </c>
      <c r="J7" t="e">
        <f t="shared" si="2"/>
        <v>#DIV/0!</v>
      </c>
      <c r="K7">
        <f t="shared" si="3"/>
        <v>0</v>
      </c>
    </row>
    <row r="8" spans="1:13" x14ac:dyDescent="0.4">
      <c r="H8">
        <f t="shared" si="0"/>
        <v>0</v>
      </c>
      <c r="I8">
        <f t="shared" si="1"/>
        <v>0</v>
      </c>
      <c r="J8" t="e">
        <f t="shared" si="2"/>
        <v>#DIV/0!</v>
      </c>
      <c r="K8">
        <f t="shared" si="3"/>
        <v>0</v>
      </c>
    </row>
    <row r="9" spans="1:13" x14ac:dyDescent="0.4">
      <c r="H9">
        <f t="shared" si="0"/>
        <v>0</v>
      </c>
      <c r="I9">
        <f t="shared" si="1"/>
        <v>0</v>
      </c>
      <c r="J9" t="e">
        <f t="shared" si="2"/>
        <v>#DIV/0!</v>
      </c>
      <c r="K9">
        <f t="shared" si="3"/>
        <v>0</v>
      </c>
    </row>
    <row r="10" spans="1:13" x14ac:dyDescent="0.4">
      <c r="H10">
        <f t="shared" si="0"/>
        <v>0</v>
      </c>
      <c r="I10">
        <f t="shared" si="1"/>
        <v>0</v>
      </c>
      <c r="J10" t="e">
        <f t="shared" si="2"/>
        <v>#DIV/0!</v>
      </c>
      <c r="K10">
        <f t="shared" si="3"/>
        <v>0</v>
      </c>
    </row>
    <row r="11" spans="1:13" x14ac:dyDescent="0.4">
      <c r="H11">
        <f t="shared" si="0"/>
        <v>0</v>
      </c>
      <c r="I11">
        <f t="shared" si="1"/>
        <v>0</v>
      </c>
      <c r="J11" t="e">
        <f t="shared" si="2"/>
        <v>#DIV/0!</v>
      </c>
      <c r="K11">
        <f t="shared" si="3"/>
        <v>0</v>
      </c>
    </row>
    <row r="12" spans="1:13" x14ac:dyDescent="0.4">
      <c r="H12">
        <f t="shared" si="0"/>
        <v>0</v>
      </c>
      <c r="I12">
        <f t="shared" si="1"/>
        <v>0</v>
      </c>
      <c r="J12" t="e">
        <f t="shared" si="2"/>
        <v>#DIV/0!</v>
      </c>
      <c r="K12">
        <f t="shared" si="3"/>
        <v>0</v>
      </c>
    </row>
    <row r="13" spans="1:13" x14ac:dyDescent="0.4">
      <c r="H13">
        <f t="shared" si="0"/>
        <v>0</v>
      </c>
      <c r="I13">
        <f t="shared" si="1"/>
        <v>0</v>
      </c>
      <c r="J13" t="e">
        <f t="shared" si="2"/>
        <v>#DIV/0!</v>
      </c>
      <c r="K13">
        <f t="shared" si="3"/>
        <v>0</v>
      </c>
    </row>
    <row r="14" spans="1:13" x14ac:dyDescent="0.4">
      <c r="H14">
        <f t="shared" si="0"/>
        <v>0</v>
      </c>
      <c r="I14">
        <f t="shared" si="1"/>
        <v>0</v>
      </c>
      <c r="J14" t="e">
        <f t="shared" si="2"/>
        <v>#DIV/0!</v>
      </c>
      <c r="K14">
        <f t="shared" si="3"/>
        <v>0</v>
      </c>
    </row>
  </sheetData>
  <mergeCells count="1">
    <mergeCell ref="A1:K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87A28-02E5-4CA5-9116-67903D96DDE5}">
  <dimension ref="A1:Q26"/>
  <sheetViews>
    <sheetView workbookViewId="0">
      <selection activeCell="G16" sqref="G16"/>
    </sheetView>
  </sheetViews>
  <sheetFormatPr defaultRowHeight="14.6" x14ac:dyDescent="0.4"/>
  <cols>
    <col min="1" max="1" width="19.69140625" customWidth="1"/>
    <col min="2" max="2" width="14.765625" customWidth="1"/>
    <col min="3" max="3" width="11.15234375" customWidth="1"/>
    <col min="4" max="5" width="15.23046875" customWidth="1"/>
    <col min="6" max="6" width="17.53515625" customWidth="1"/>
    <col min="7" max="7" width="18.15234375" customWidth="1"/>
    <col min="8" max="8" width="19.61328125" customWidth="1"/>
  </cols>
  <sheetData>
    <row r="1" spans="1:17" x14ac:dyDescent="0.4">
      <c r="A1" s="64" t="s">
        <v>14</v>
      </c>
      <c r="B1" s="64"/>
      <c r="C1" s="64"/>
      <c r="D1" s="64"/>
      <c r="E1" s="64"/>
      <c r="F1" s="64"/>
      <c r="G1" s="64"/>
      <c r="H1" s="64"/>
      <c r="I1" s="64"/>
      <c r="J1" s="64"/>
      <c r="K1" s="64"/>
      <c r="L1" s="64"/>
      <c r="M1" s="64"/>
      <c r="N1" s="64"/>
      <c r="O1" s="64"/>
      <c r="P1" s="64"/>
      <c r="Q1" s="64"/>
    </row>
    <row r="2" spans="1:17" x14ac:dyDescent="0.4">
      <c r="A2" s="64"/>
      <c r="B2" s="64"/>
      <c r="C2" s="64"/>
      <c r="D2" s="64"/>
      <c r="E2" s="64"/>
      <c r="F2" s="64"/>
      <c r="G2" s="64"/>
      <c r="H2" s="64"/>
      <c r="I2" s="64"/>
      <c r="J2" s="64"/>
      <c r="K2" s="64"/>
      <c r="L2" s="64"/>
      <c r="M2" s="64"/>
      <c r="N2" s="64"/>
      <c r="O2" s="64"/>
      <c r="P2" s="64"/>
      <c r="Q2" s="64"/>
    </row>
    <row r="3" spans="1:17" x14ac:dyDescent="0.4">
      <c r="A3" s="64"/>
      <c r="B3" s="64"/>
      <c r="C3" s="64"/>
      <c r="D3" s="64"/>
      <c r="E3" s="64"/>
      <c r="F3" s="64"/>
      <c r="G3" s="64"/>
      <c r="H3" s="64"/>
      <c r="I3" s="64"/>
      <c r="J3" s="64"/>
      <c r="K3" s="64"/>
      <c r="L3" s="64"/>
      <c r="M3" s="64"/>
      <c r="N3" s="64"/>
      <c r="O3" s="64"/>
      <c r="P3" s="64"/>
      <c r="Q3" s="64"/>
    </row>
    <row r="4" spans="1:17" x14ac:dyDescent="0.4">
      <c r="A4" s="64"/>
      <c r="B4" s="64"/>
      <c r="C4" s="64"/>
      <c r="D4" s="64"/>
      <c r="E4" s="64"/>
      <c r="F4" s="64"/>
      <c r="G4" s="64"/>
      <c r="H4" s="64"/>
      <c r="I4" s="64"/>
      <c r="J4" s="64"/>
      <c r="K4" s="64"/>
      <c r="L4" s="64"/>
      <c r="M4" s="64"/>
      <c r="N4" s="64"/>
      <c r="O4" s="64"/>
      <c r="P4" s="64"/>
      <c r="Q4" s="64"/>
    </row>
    <row r="5" spans="1:17" x14ac:dyDescent="0.4">
      <c r="A5" s="64"/>
      <c r="B5" s="64"/>
      <c r="C5" s="64"/>
      <c r="D5" s="64"/>
      <c r="E5" s="64"/>
      <c r="F5" s="64"/>
      <c r="G5" s="64"/>
      <c r="H5" s="64"/>
      <c r="I5" s="64"/>
      <c r="J5" s="64"/>
      <c r="K5" s="64"/>
      <c r="L5" s="64"/>
      <c r="M5" s="64"/>
      <c r="N5" s="64"/>
      <c r="O5" s="64"/>
      <c r="P5" s="64"/>
      <c r="Q5" s="64"/>
    </row>
    <row r="6" spans="1:17" x14ac:dyDescent="0.4">
      <c r="A6" s="64"/>
      <c r="B6" s="64"/>
      <c r="C6" s="64"/>
      <c r="D6" s="64"/>
      <c r="E6" s="64"/>
      <c r="F6" s="64"/>
      <c r="G6" s="64"/>
      <c r="H6" s="64"/>
      <c r="I6" s="64"/>
      <c r="J6" s="64"/>
      <c r="K6" s="64"/>
      <c r="L6" s="64"/>
      <c r="M6" s="64"/>
      <c r="N6" s="64"/>
      <c r="O6" s="64"/>
      <c r="P6" s="64"/>
      <c r="Q6" s="64"/>
    </row>
    <row r="7" spans="1:17" ht="20.6" x14ac:dyDescent="0.55000000000000004">
      <c r="A7" s="1"/>
      <c r="B7" s="1"/>
      <c r="C7" s="1"/>
      <c r="D7" s="1"/>
      <c r="E7" s="1"/>
      <c r="F7" s="1"/>
      <c r="G7" s="1"/>
      <c r="H7" s="1"/>
      <c r="I7" s="1"/>
      <c r="J7" s="1"/>
      <c r="K7" s="1"/>
      <c r="L7" s="1"/>
      <c r="M7" s="1"/>
      <c r="N7" s="1"/>
      <c r="O7" s="1"/>
      <c r="P7" s="1"/>
      <c r="Q7" s="1"/>
    </row>
    <row r="8" spans="1:17" ht="20.6" x14ac:dyDescent="0.55000000000000004">
      <c r="A8" s="1"/>
      <c r="B8" s="1"/>
      <c r="C8" s="1"/>
      <c r="D8" s="1"/>
      <c r="E8" s="1"/>
      <c r="F8" s="1"/>
      <c r="G8" s="1"/>
      <c r="H8" s="1"/>
      <c r="I8" s="1"/>
      <c r="J8" s="1"/>
      <c r="K8" s="1"/>
      <c r="L8" s="1"/>
      <c r="M8" s="1"/>
      <c r="N8" s="1"/>
      <c r="O8" s="1"/>
      <c r="P8" s="1"/>
      <c r="Q8" s="1"/>
    </row>
    <row r="9" spans="1:17" ht="20.6" x14ac:dyDescent="0.55000000000000004">
      <c r="A9" s="1"/>
      <c r="B9" s="1"/>
      <c r="C9" s="1"/>
      <c r="D9" s="1"/>
      <c r="E9" s="1"/>
      <c r="F9" s="1"/>
      <c r="G9" s="1"/>
      <c r="H9" s="1"/>
      <c r="I9" s="1"/>
      <c r="J9" s="1"/>
      <c r="K9" s="1"/>
      <c r="L9" s="1"/>
      <c r="M9" s="1"/>
      <c r="N9" s="1"/>
      <c r="O9" s="1"/>
      <c r="P9" s="1"/>
      <c r="Q9" s="1"/>
    </row>
    <row r="10" spans="1:17" x14ac:dyDescent="0.4">
      <c r="A10" t="s">
        <v>15</v>
      </c>
      <c r="B10" t="s">
        <v>16</v>
      </c>
      <c r="C10" t="s">
        <v>17</v>
      </c>
      <c r="D10" t="s">
        <v>18</v>
      </c>
      <c r="E10" t="s">
        <v>26</v>
      </c>
      <c r="F10" t="s">
        <v>19</v>
      </c>
      <c r="G10" t="s">
        <v>20</v>
      </c>
      <c r="H10" t="s">
        <v>21</v>
      </c>
    </row>
    <row r="11" spans="1:17" x14ac:dyDescent="0.4">
      <c r="A11">
        <v>101</v>
      </c>
      <c r="B11">
        <v>200</v>
      </c>
      <c r="C11">
        <v>5</v>
      </c>
      <c r="D11" t="s">
        <v>22</v>
      </c>
      <c r="E11" t="s">
        <v>27</v>
      </c>
      <c r="F11">
        <f>B11*C11</f>
        <v>1000</v>
      </c>
      <c r="G11">
        <f>F11*5%</f>
        <v>50</v>
      </c>
      <c r="H11">
        <f>F11-G11</f>
        <v>950</v>
      </c>
    </row>
    <row r="12" spans="1:17" x14ac:dyDescent="0.4">
      <c r="A12">
        <v>102</v>
      </c>
      <c r="B12">
        <v>400</v>
      </c>
      <c r="C12">
        <v>4</v>
      </c>
      <c r="D12" t="s">
        <v>23</v>
      </c>
      <c r="E12" t="s">
        <v>28</v>
      </c>
      <c r="F12">
        <f>B12*C12</f>
        <v>1600</v>
      </c>
      <c r="G12">
        <f>F12*5%</f>
        <v>80</v>
      </c>
      <c r="H12">
        <f>F12-G12</f>
        <v>1520</v>
      </c>
    </row>
    <row r="13" spans="1:17" x14ac:dyDescent="0.4">
      <c r="A13">
        <v>103</v>
      </c>
      <c r="B13">
        <v>600</v>
      </c>
      <c r="C13">
        <v>7</v>
      </c>
      <c r="D13" t="s">
        <v>30</v>
      </c>
      <c r="E13" t="s">
        <v>27</v>
      </c>
      <c r="F13">
        <f>B13*C13</f>
        <v>4200</v>
      </c>
      <c r="G13">
        <f>IF(E13="STUDENT",F13*5%,IF(E13="TEACHER",F13*10%,IF(E13="STAFF",F13*15%)))</f>
        <v>210</v>
      </c>
      <c r="H13">
        <f>F13-G13</f>
        <v>3990</v>
      </c>
    </row>
    <row r="14" spans="1:17" x14ac:dyDescent="0.4">
      <c r="E14" t="s">
        <v>28</v>
      </c>
    </row>
    <row r="15" spans="1:17" x14ac:dyDescent="0.4">
      <c r="E15" t="s">
        <v>29</v>
      </c>
      <c r="G15" t="s">
        <v>24</v>
      </c>
    </row>
    <row r="16" spans="1:17" x14ac:dyDescent="0.4">
      <c r="A16">
        <v>109</v>
      </c>
      <c r="B16">
        <v>300</v>
      </c>
      <c r="C16">
        <v>10</v>
      </c>
      <c r="D16" t="s">
        <v>25</v>
      </c>
      <c r="E16" t="s">
        <v>27</v>
      </c>
      <c r="F16">
        <f>B16*C16</f>
        <v>3000</v>
      </c>
      <c r="G16">
        <f>IF(F16&lt;500,F16*5%,F16*10%)</f>
        <v>300</v>
      </c>
    </row>
    <row r="17" spans="5:6" x14ac:dyDescent="0.4">
      <c r="E17" t="s">
        <v>28</v>
      </c>
    </row>
    <row r="18" spans="5:6" x14ac:dyDescent="0.4">
      <c r="E18" t="s">
        <v>29</v>
      </c>
    </row>
    <row r="19" spans="5:6" x14ac:dyDescent="0.4">
      <c r="E19" t="s">
        <v>27</v>
      </c>
    </row>
    <row r="20" spans="5:6" x14ac:dyDescent="0.4">
      <c r="E20" t="s">
        <v>29</v>
      </c>
    </row>
    <row r="24" spans="5:6" x14ac:dyDescent="0.4">
      <c r="E24" t="s">
        <v>27</v>
      </c>
      <c r="F24" s="2">
        <v>0.05</v>
      </c>
    </row>
    <row r="25" spans="5:6" x14ac:dyDescent="0.4">
      <c r="E25" t="s">
        <v>28</v>
      </c>
      <c r="F25" s="2">
        <v>0.1</v>
      </c>
    </row>
    <row r="26" spans="5:6" x14ac:dyDescent="0.4">
      <c r="E26" t="s">
        <v>29</v>
      </c>
      <c r="F26" s="2">
        <v>0.15</v>
      </c>
    </row>
  </sheetData>
  <mergeCells count="1">
    <mergeCell ref="A1:Q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883B3-DEED-4045-8F1A-9198BD006EB2}">
  <dimension ref="A1:R27"/>
  <sheetViews>
    <sheetView topLeftCell="A8" zoomScaleNormal="100" workbookViewId="0">
      <selection activeCell="L28" sqref="L28"/>
    </sheetView>
  </sheetViews>
  <sheetFormatPr defaultRowHeight="14.6" x14ac:dyDescent="0.4"/>
  <cols>
    <col min="1" max="1" width="6.3046875" bestFit="1" customWidth="1"/>
    <col min="2" max="2" width="5.69140625" bestFit="1" customWidth="1"/>
    <col min="3" max="3" width="5.765625" bestFit="1" customWidth="1"/>
    <col min="4" max="4" width="10.84375" bestFit="1" customWidth="1"/>
    <col min="5" max="5" width="27.3828125" bestFit="1" customWidth="1"/>
    <col min="6" max="6" width="10.23046875" bestFit="1" customWidth="1"/>
    <col min="7" max="7" width="22.69140625" bestFit="1" customWidth="1"/>
    <col min="8" max="8" width="30.69140625" bestFit="1" customWidth="1"/>
    <col min="9" max="9" width="7.61328125" bestFit="1" customWidth="1"/>
    <col min="10" max="10" width="21.921875" bestFit="1" customWidth="1"/>
    <col min="11" max="11" width="14.23046875" customWidth="1"/>
    <col min="12" max="12" width="25" bestFit="1" customWidth="1"/>
  </cols>
  <sheetData>
    <row r="1" spans="1:18" x14ac:dyDescent="0.4">
      <c r="A1" s="65" t="s">
        <v>41</v>
      </c>
      <c r="B1" s="66"/>
      <c r="C1" s="66"/>
      <c r="D1" s="66"/>
      <c r="E1" s="66"/>
      <c r="F1" s="66"/>
      <c r="G1" s="66"/>
      <c r="H1" s="66"/>
      <c r="I1" s="66"/>
      <c r="J1" s="66"/>
      <c r="K1" s="66"/>
      <c r="L1" s="66"/>
      <c r="M1" s="66"/>
      <c r="N1" s="66"/>
      <c r="O1" s="66"/>
      <c r="P1" s="66"/>
      <c r="Q1" s="66"/>
      <c r="R1" s="66"/>
    </row>
    <row r="2" spans="1:18" x14ac:dyDescent="0.4">
      <c r="A2" s="66"/>
      <c r="B2" s="66"/>
      <c r="C2" s="66"/>
      <c r="D2" s="66"/>
      <c r="E2" s="66"/>
      <c r="F2" s="66"/>
      <c r="G2" s="66"/>
      <c r="H2" s="66"/>
      <c r="I2" s="66"/>
      <c r="J2" s="66"/>
      <c r="K2" s="66"/>
      <c r="L2" s="66"/>
      <c r="M2" s="66"/>
      <c r="N2" s="66"/>
      <c r="O2" s="66"/>
      <c r="P2" s="66"/>
      <c r="Q2" s="66"/>
      <c r="R2" s="66"/>
    </row>
    <row r="3" spans="1:18" x14ac:dyDescent="0.4">
      <c r="A3" s="66"/>
      <c r="B3" s="66"/>
      <c r="C3" s="66"/>
      <c r="D3" s="66"/>
      <c r="E3" s="66"/>
      <c r="F3" s="66"/>
      <c r="G3" s="66"/>
      <c r="H3" s="66"/>
      <c r="I3" s="66"/>
      <c r="J3" s="66"/>
      <c r="K3" s="66"/>
      <c r="L3" s="66"/>
      <c r="M3" s="66"/>
      <c r="N3" s="66"/>
      <c r="O3" s="66"/>
      <c r="P3" s="66"/>
      <c r="Q3" s="66"/>
      <c r="R3" s="66"/>
    </row>
    <row r="4" spans="1:18" x14ac:dyDescent="0.4">
      <c r="A4" s="66"/>
      <c r="B4" s="66"/>
      <c r="C4" s="66"/>
      <c r="D4" s="66"/>
      <c r="E4" s="66"/>
      <c r="F4" s="66"/>
      <c r="G4" s="66"/>
      <c r="H4" s="66"/>
      <c r="I4" s="66"/>
      <c r="J4" s="66"/>
      <c r="K4" s="66"/>
      <c r="L4" s="66"/>
      <c r="M4" s="66"/>
      <c r="N4" s="66"/>
      <c r="O4" s="66"/>
      <c r="P4" s="66"/>
      <c r="Q4" s="66"/>
      <c r="R4" s="66"/>
    </row>
    <row r="5" spans="1:18" x14ac:dyDescent="0.4">
      <c r="A5" s="66"/>
      <c r="B5" s="66"/>
      <c r="C5" s="66"/>
      <c r="D5" s="66"/>
      <c r="E5" s="66"/>
      <c r="F5" s="66"/>
      <c r="G5" s="66"/>
      <c r="H5" s="66"/>
      <c r="I5" s="66"/>
      <c r="J5" s="66"/>
      <c r="K5" s="66"/>
      <c r="L5" s="66"/>
      <c r="M5" s="66"/>
      <c r="N5" s="66"/>
      <c r="O5" s="66"/>
      <c r="P5" s="66"/>
      <c r="Q5" s="66"/>
      <c r="R5" s="66"/>
    </row>
    <row r="6" spans="1:18" x14ac:dyDescent="0.4">
      <c r="A6" t="s">
        <v>31</v>
      </c>
      <c r="B6" t="s">
        <v>32</v>
      </c>
      <c r="C6" t="s">
        <v>33</v>
      </c>
      <c r="E6" t="s">
        <v>34</v>
      </c>
      <c r="G6" t="s">
        <v>35</v>
      </c>
      <c r="H6" t="s">
        <v>36</v>
      </c>
      <c r="I6" t="s">
        <v>37</v>
      </c>
      <c r="J6" t="s">
        <v>38</v>
      </c>
      <c r="L6" t="s">
        <v>39</v>
      </c>
    </row>
    <row r="7" spans="1:18" x14ac:dyDescent="0.4">
      <c r="A7">
        <v>101</v>
      </c>
      <c r="B7" t="s">
        <v>40</v>
      </c>
      <c r="C7">
        <v>2000</v>
      </c>
      <c r="E7">
        <f>C7*10%</f>
        <v>200</v>
      </c>
      <c r="G7">
        <f>C7*12%</f>
        <v>240</v>
      </c>
      <c r="H7">
        <f>C7*15%</f>
        <v>300</v>
      </c>
      <c r="I7">
        <f>C7*20%</f>
        <v>400</v>
      </c>
      <c r="J7">
        <f>SUM(C7:H7)</f>
        <v>2740</v>
      </c>
      <c r="L7">
        <f>J7-I7</f>
        <v>2340</v>
      </c>
    </row>
    <row r="8" spans="1:18" x14ac:dyDescent="0.4">
      <c r="G8">
        <f>C8*12%</f>
        <v>0</v>
      </c>
      <c r="H8">
        <f>C8*15%</f>
        <v>0</v>
      </c>
      <c r="I8">
        <f>C8*20%</f>
        <v>0</v>
      </c>
      <c r="J8">
        <f>SUM(C8:H8)</f>
        <v>0</v>
      </c>
      <c r="L8">
        <f>J8-I8</f>
        <v>0</v>
      </c>
    </row>
    <row r="9" spans="1:18" x14ac:dyDescent="0.4">
      <c r="G9">
        <f>C9*12%</f>
        <v>0</v>
      </c>
      <c r="H9">
        <f>C9*15%</f>
        <v>0</v>
      </c>
      <c r="I9">
        <f>C9*20%</f>
        <v>0</v>
      </c>
      <c r="J9">
        <f>SUM(C9:H9)</f>
        <v>0</v>
      </c>
      <c r="L9">
        <f>J9-I9</f>
        <v>0</v>
      </c>
    </row>
    <row r="10" spans="1:18" x14ac:dyDescent="0.4">
      <c r="A10" s="65" t="s">
        <v>42</v>
      </c>
      <c r="B10" s="66"/>
      <c r="C10" s="66"/>
      <c r="D10" s="66"/>
      <c r="E10" s="66"/>
      <c r="F10" s="66"/>
      <c r="G10" s="66"/>
      <c r="H10" s="66"/>
      <c r="I10" s="66"/>
      <c r="J10" s="66"/>
      <c r="K10" s="66"/>
      <c r="L10" s="66"/>
      <c r="M10" s="66"/>
      <c r="N10" s="66"/>
      <c r="O10" s="66"/>
      <c r="P10" s="66"/>
      <c r="Q10" s="66"/>
      <c r="R10" s="66"/>
    </row>
    <row r="11" spans="1:18" x14ac:dyDescent="0.4">
      <c r="A11" s="66"/>
      <c r="B11" s="66"/>
      <c r="C11" s="66"/>
      <c r="D11" s="66"/>
      <c r="E11" s="66"/>
      <c r="F11" s="66"/>
      <c r="G11" s="66"/>
      <c r="H11" s="66"/>
      <c r="I11" s="66"/>
      <c r="J11" s="66"/>
      <c r="K11" s="66"/>
      <c r="L11" s="66"/>
      <c r="M11" s="66"/>
      <c r="N11" s="66"/>
      <c r="O11" s="66"/>
      <c r="P11" s="66"/>
      <c r="Q11" s="66"/>
      <c r="R11" s="66"/>
    </row>
    <row r="12" spans="1:18" x14ac:dyDescent="0.4">
      <c r="A12" s="66"/>
      <c r="B12" s="66"/>
      <c r="C12" s="66"/>
      <c r="D12" s="66"/>
      <c r="E12" s="66"/>
      <c r="F12" s="66"/>
      <c r="G12" s="66"/>
      <c r="H12" s="66"/>
      <c r="I12" s="66"/>
      <c r="J12" s="66"/>
      <c r="K12" s="66"/>
      <c r="L12" s="66"/>
      <c r="M12" s="66"/>
      <c r="N12" s="66"/>
      <c r="O12" s="66"/>
      <c r="P12" s="66"/>
      <c r="Q12" s="66"/>
      <c r="R12" s="66"/>
    </row>
    <row r="13" spans="1:18" x14ac:dyDescent="0.4">
      <c r="A13" s="66"/>
      <c r="B13" s="66"/>
      <c r="C13" s="66"/>
      <c r="D13" s="66"/>
      <c r="E13" s="66"/>
      <c r="F13" s="66"/>
      <c r="G13" s="66"/>
      <c r="H13" s="66"/>
      <c r="I13" s="66"/>
      <c r="J13" s="66"/>
      <c r="K13" s="66"/>
      <c r="L13" s="66"/>
      <c r="M13" s="66"/>
      <c r="N13" s="66"/>
      <c r="O13" s="66"/>
      <c r="P13" s="66"/>
      <c r="Q13" s="66"/>
      <c r="R13" s="66"/>
    </row>
    <row r="14" spans="1:18" x14ac:dyDescent="0.4">
      <c r="A14" s="66"/>
      <c r="B14" s="66"/>
      <c r="C14" s="66"/>
      <c r="D14" s="66"/>
      <c r="E14" s="66"/>
      <c r="F14" s="66"/>
      <c r="G14" s="66"/>
      <c r="H14" s="66"/>
      <c r="I14" s="66"/>
      <c r="J14" s="66"/>
      <c r="K14" s="66"/>
      <c r="L14" s="66"/>
      <c r="M14" s="66"/>
      <c r="N14" s="66"/>
      <c r="O14" s="66"/>
      <c r="P14" s="66"/>
      <c r="Q14" s="66"/>
      <c r="R14" s="66"/>
    </row>
    <row r="15" spans="1:18" x14ac:dyDescent="0.4">
      <c r="A15" t="s">
        <v>31</v>
      </c>
      <c r="B15" t="s">
        <v>32</v>
      </c>
      <c r="C15" t="s">
        <v>33</v>
      </c>
      <c r="D15" t="s">
        <v>43</v>
      </c>
      <c r="E15" t="s">
        <v>34</v>
      </c>
      <c r="G15" t="s">
        <v>35</v>
      </c>
      <c r="H15" t="s">
        <v>36</v>
      </c>
      <c r="I15" t="s">
        <v>37</v>
      </c>
      <c r="J15" t="s">
        <v>38</v>
      </c>
      <c r="L15" t="s">
        <v>39</v>
      </c>
    </row>
    <row r="16" spans="1:18" x14ac:dyDescent="0.4">
      <c r="A16">
        <v>101</v>
      </c>
      <c r="B16" t="s">
        <v>40</v>
      </c>
      <c r="C16">
        <v>2000</v>
      </c>
      <c r="D16" t="s">
        <v>44</v>
      </c>
      <c r="E16">
        <f>C16*10%</f>
        <v>200</v>
      </c>
      <c r="G16">
        <f>C16*12%</f>
        <v>240</v>
      </c>
      <c r="H16">
        <f>C16*15%</f>
        <v>300</v>
      </c>
      <c r="I16">
        <f>C16*20%</f>
        <v>400</v>
      </c>
      <c r="J16">
        <f>SUM(C16:H16)</f>
        <v>2740</v>
      </c>
      <c r="L16">
        <f>J16-I16</f>
        <v>2340</v>
      </c>
    </row>
    <row r="17" spans="1:18" x14ac:dyDescent="0.4">
      <c r="D17" t="s">
        <v>45</v>
      </c>
    </row>
    <row r="18" spans="1:18" x14ac:dyDescent="0.4">
      <c r="E18" t="s">
        <v>46</v>
      </c>
      <c r="G18" t="s">
        <v>47</v>
      </c>
      <c r="H18" t="s">
        <v>48</v>
      </c>
    </row>
    <row r="19" spans="1:18" x14ac:dyDescent="0.4">
      <c r="A19">
        <v>102</v>
      </c>
      <c r="B19" t="s">
        <v>49</v>
      </c>
      <c r="C19">
        <v>2000</v>
      </c>
      <c r="D19" t="s">
        <v>44</v>
      </c>
      <c r="E19">
        <f>IF(C19&lt;=5000,C19*5%,C19*10%)</f>
        <v>100</v>
      </c>
      <c r="G19">
        <f>IF(D19="METRO",C19*5%,IF(D19="NON METRO",C19*10%))</f>
        <v>100</v>
      </c>
      <c r="H19">
        <f>IF(C19&lt;=5000,500,C19*12%)</f>
        <v>500</v>
      </c>
      <c r="I19">
        <f>C19*20%</f>
        <v>400</v>
      </c>
      <c r="J19">
        <f>SUM(C19:H19)</f>
        <v>2700</v>
      </c>
      <c r="L19">
        <f>J19-I19</f>
        <v>2300</v>
      </c>
    </row>
    <row r="20" spans="1:18" x14ac:dyDescent="0.4">
      <c r="A20" s="65" t="s">
        <v>42</v>
      </c>
      <c r="B20" s="66"/>
      <c r="C20" s="66"/>
      <c r="D20" s="66"/>
      <c r="E20" s="66"/>
      <c r="F20" s="66"/>
      <c r="G20" s="66"/>
      <c r="H20" s="66"/>
      <c r="I20" s="66"/>
      <c r="J20" s="66"/>
      <c r="K20" s="66"/>
      <c r="L20" s="66"/>
      <c r="M20" s="66"/>
      <c r="N20" s="66"/>
      <c r="O20" s="66"/>
      <c r="P20" s="66"/>
      <c r="Q20" s="66"/>
      <c r="R20" s="66"/>
    </row>
    <row r="21" spans="1:18" x14ac:dyDescent="0.4">
      <c r="A21" s="66"/>
      <c r="B21" s="66"/>
      <c r="C21" s="66"/>
      <c r="D21" s="66"/>
      <c r="E21" s="66"/>
      <c r="F21" s="66"/>
      <c r="G21" s="66"/>
      <c r="H21" s="66"/>
      <c r="I21" s="66"/>
      <c r="J21" s="66"/>
      <c r="K21" s="66"/>
      <c r="L21" s="66"/>
      <c r="M21" s="66"/>
      <c r="N21" s="66"/>
      <c r="O21" s="66"/>
      <c r="P21" s="66"/>
      <c r="Q21" s="66"/>
      <c r="R21" s="66"/>
    </row>
    <row r="22" spans="1:18" x14ac:dyDescent="0.4">
      <c r="A22" s="66"/>
      <c r="B22" s="66"/>
      <c r="C22" s="66"/>
      <c r="D22" s="66"/>
      <c r="E22" s="66"/>
      <c r="F22" s="66"/>
      <c r="G22" s="66"/>
      <c r="H22" s="66"/>
      <c r="I22" s="66"/>
      <c r="J22" s="66"/>
      <c r="K22" s="66"/>
      <c r="L22" s="66"/>
      <c r="M22" s="66"/>
      <c r="N22" s="66"/>
      <c r="O22" s="66"/>
      <c r="P22" s="66"/>
      <c r="Q22" s="66"/>
      <c r="R22" s="66"/>
    </row>
    <row r="23" spans="1:18" x14ac:dyDescent="0.4">
      <c r="A23" s="66"/>
      <c r="B23" s="66"/>
      <c r="C23" s="66"/>
      <c r="D23" s="66"/>
      <c r="E23" s="66"/>
      <c r="F23" s="66"/>
      <c r="G23" s="66"/>
      <c r="H23" s="66"/>
      <c r="I23" s="66"/>
      <c r="J23" s="66"/>
      <c r="K23" s="66"/>
      <c r="L23" s="66"/>
      <c r="M23" s="66"/>
      <c r="N23" s="66"/>
      <c r="O23" s="66"/>
      <c r="P23" s="66"/>
      <c r="Q23" s="66"/>
      <c r="R23" s="66"/>
    </row>
    <row r="24" spans="1:18" x14ac:dyDescent="0.4">
      <c r="A24" s="66"/>
      <c r="B24" s="66"/>
      <c r="C24" s="66"/>
      <c r="D24" s="66"/>
      <c r="E24" s="66"/>
      <c r="F24" s="66"/>
      <c r="G24" s="66"/>
      <c r="H24" s="66"/>
      <c r="I24" s="66"/>
      <c r="J24" s="66"/>
      <c r="K24" s="66"/>
      <c r="L24" s="66"/>
      <c r="M24" s="66"/>
      <c r="N24" s="66"/>
      <c r="O24" s="66"/>
      <c r="P24" s="66"/>
      <c r="Q24" s="66"/>
      <c r="R24" s="66"/>
    </row>
    <row r="25" spans="1:18" x14ac:dyDescent="0.4">
      <c r="A25" t="s">
        <v>31</v>
      </c>
      <c r="B25" t="s">
        <v>32</v>
      </c>
      <c r="C25" t="s">
        <v>33</v>
      </c>
      <c r="D25" t="s">
        <v>43</v>
      </c>
      <c r="E25" t="s">
        <v>34</v>
      </c>
      <c r="F25" t="s">
        <v>50</v>
      </c>
      <c r="G25" t="s">
        <v>35</v>
      </c>
      <c r="H25" t="s">
        <v>36</v>
      </c>
      <c r="I25" t="s">
        <v>37</v>
      </c>
      <c r="J25" t="s">
        <v>38</v>
      </c>
      <c r="K25" t="s">
        <v>51</v>
      </c>
      <c r="L25" t="s">
        <v>39</v>
      </c>
    </row>
    <row r="26" spans="1:18" x14ac:dyDescent="0.4">
      <c r="K26" t="s">
        <v>52</v>
      </c>
      <c r="L26" t="s">
        <v>53</v>
      </c>
    </row>
    <row r="27" spans="1:18" x14ac:dyDescent="0.4">
      <c r="A27">
        <v>101</v>
      </c>
      <c r="B27" t="s">
        <v>40</v>
      </c>
      <c r="C27">
        <v>2000</v>
      </c>
      <c r="D27" t="s">
        <v>44</v>
      </c>
      <c r="E27">
        <f>C27*10%</f>
        <v>200</v>
      </c>
      <c r="F27">
        <v>6</v>
      </c>
      <c r="G27">
        <f>C27*12%</f>
        <v>240</v>
      </c>
      <c r="H27">
        <f>C27*15%</f>
        <v>300</v>
      </c>
      <c r="I27">
        <f>C27*20%</f>
        <v>400</v>
      </c>
      <c r="J27">
        <f>SUM(C27:H27)</f>
        <v>2746</v>
      </c>
      <c r="K27">
        <f>(J27/30)*F27</f>
        <v>549.20000000000005</v>
      </c>
      <c r="L27">
        <f>J27-(K27+I27)</f>
        <v>1796.8</v>
      </c>
    </row>
  </sheetData>
  <mergeCells count="3">
    <mergeCell ref="A1:R5"/>
    <mergeCell ref="A10:R14"/>
    <mergeCell ref="A20:R2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1F937-539A-4AA1-8BB4-978C493D760E}">
  <dimension ref="B2:M18"/>
  <sheetViews>
    <sheetView workbookViewId="0">
      <selection activeCell="D23" sqref="D23"/>
    </sheetView>
  </sheetViews>
  <sheetFormatPr defaultRowHeight="14.6" x14ac:dyDescent="0.4"/>
  <cols>
    <col min="2" max="2" width="17" bestFit="1" customWidth="1"/>
    <col min="3" max="3" width="7.84375" bestFit="1" customWidth="1"/>
    <col min="4" max="4" width="32.15234375" bestFit="1" customWidth="1"/>
    <col min="5" max="5" width="23.07421875" bestFit="1" customWidth="1"/>
    <col min="6" max="6" width="11.69140625" bestFit="1" customWidth="1"/>
    <col min="8" max="8" width="7.07421875" bestFit="1" customWidth="1"/>
    <col min="9" max="9" width="32.3828125" bestFit="1" customWidth="1"/>
    <col min="10" max="10" width="12.765625" bestFit="1" customWidth="1"/>
    <col min="11" max="11" width="11.84375" bestFit="1" customWidth="1"/>
  </cols>
  <sheetData>
    <row r="2" spans="2:13" x14ac:dyDescent="0.4">
      <c r="B2" t="s">
        <v>55</v>
      </c>
      <c r="C2" t="s">
        <v>54</v>
      </c>
      <c r="D2" t="s">
        <v>56</v>
      </c>
      <c r="E2" t="s">
        <v>65</v>
      </c>
      <c r="F2" t="s">
        <v>73</v>
      </c>
      <c r="G2" t="s">
        <v>74</v>
      </c>
      <c r="H2" t="s">
        <v>75</v>
      </c>
    </row>
    <row r="7" spans="2:13" x14ac:dyDescent="0.4">
      <c r="B7" t="s">
        <v>76</v>
      </c>
      <c r="D7" t="s">
        <v>57</v>
      </c>
      <c r="F7" t="s">
        <v>58</v>
      </c>
      <c r="H7" t="s">
        <v>60</v>
      </c>
      <c r="J7" t="s">
        <v>66</v>
      </c>
      <c r="K7" t="s">
        <v>67</v>
      </c>
      <c r="L7" t="s">
        <v>71</v>
      </c>
      <c r="M7" t="s">
        <v>72</v>
      </c>
    </row>
    <row r="8" spans="2:13" x14ac:dyDescent="0.4">
      <c r="B8" t="s">
        <v>77</v>
      </c>
      <c r="D8">
        <v>2000</v>
      </c>
      <c r="F8">
        <v>30</v>
      </c>
      <c r="H8" t="s">
        <v>61</v>
      </c>
      <c r="J8">
        <v>18</v>
      </c>
      <c r="K8" t="s">
        <v>68</v>
      </c>
      <c r="L8">
        <v>500</v>
      </c>
      <c r="M8">
        <v>3</v>
      </c>
    </row>
    <row r="9" spans="2:13" x14ac:dyDescent="0.4">
      <c r="B9">
        <v>200</v>
      </c>
      <c r="D9">
        <v>4000</v>
      </c>
      <c r="F9">
        <v>50</v>
      </c>
      <c r="H9" t="s">
        <v>61</v>
      </c>
      <c r="J9">
        <v>20</v>
      </c>
      <c r="K9" t="s">
        <v>69</v>
      </c>
      <c r="L9">
        <v>700</v>
      </c>
      <c r="M9">
        <v>5</v>
      </c>
    </row>
    <row r="10" spans="2:13" x14ac:dyDescent="0.4">
      <c r="B10" t="s">
        <v>78</v>
      </c>
      <c r="D10">
        <v>60000</v>
      </c>
      <c r="F10">
        <v>70</v>
      </c>
      <c r="H10" t="s">
        <v>62</v>
      </c>
      <c r="J10">
        <v>22</v>
      </c>
      <c r="K10" t="s">
        <v>68</v>
      </c>
      <c r="L10">
        <v>650</v>
      </c>
      <c r="M10">
        <v>2</v>
      </c>
    </row>
    <row r="11" spans="2:13" x14ac:dyDescent="0.4">
      <c r="B11">
        <v>300</v>
      </c>
      <c r="D11">
        <v>10000</v>
      </c>
      <c r="F11">
        <v>20</v>
      </c>
      <c r="H11" t="s">
        <v>62</v>
      </c>
      <c r="J11">
        <v>16</v>
      </c>
      <c r="K11" t="s">
        <v>68</v>
      </c>
      <c r="L11">
        <v>550</v>
      </c>
      <c r="M11">
        <v>7</v>
      </c>
    </row>
    <row r="12" spans="2:13" x14ac:dyDescent="0.4">
      <c r="B12" t="s">
        <v>79</v>
      </c>
      <c r="D12">
        <v>7000</v>
      </c>
      <c r="F12">
        <v>40</v>
      </c>
      <c r="H12" t="s">
        <v>62</v>
      </c>
      <c r="J12">
        <v>26</v>
      </c>
      <c r="K12" t="s">
        <v>69</v>
      </c>
      <c r="L12">
        <v>750</v>
      </c>
      <c r="M12">
        <v>4</v>
      </c>
    </row>
    <row r="13" spans="2:13" x14ac:dyDescent="0.4">
      <c r="B13">
        <v>400</v>
      </c>
      <c r="D13">
        <v>9000</v>
      </c>
      <c r="F13">
        <v>10</v>
      </c>
      <c r="H13" t="s">
        <v>61</v>
      </c>
      <c r="J13">
        <v>45</v>
      </c>
      <c r="K13" t="s">
        <v>69</v>
      </c>
      <c r="L13">
        <v>781</v>
      </c>
      <c r="M13">
        <v>3</v>
      </c>
    </row>
    <row r="14" spans="2:13" x14ac:dyDescent="0.4">
      <c r="B14" t="s">
        <v>80</v>
      </c>
      <c r="D14">
        <f>COUNTIF(D8:D13,"&gt;4000")</f>
        <v>4</v>
      </c>
      <c r="F14">
        <v>70</v>
      </c>
      <c r="H14" t="s">
        <v>62</v>
      </c>
      <c r="K14" t="s">
        <v>70</v>
      </c>
      <c r="M14">
        <f>COUNTIFS(L8:L13,"&gt;=600",M8:M13,"&gt;=3")</f>
        <v>3</v>
      </c>
    </row>
    <row r="15" spans="2:13" x14ac:dyDescent="0.4">
      <c r="B15">
        <f>COUNT(B8:B13)</f>
        <v>3</v>
      </c>
      <c r="F15" t="s">
        <v>59</v>
      </c>
      <c r="H15" t="s">
        <v>62</v>
      </c>
      <c r="K15">
        <f>COUNTIFS(K8:K13,"=FEMALE",J8:J13,"&gt;18")</f>
        <v>3</v>
      </c>
    </row>
    <row r="16" spans="2:13" x14ac:dyDescent="0.4">
      <c r="B16" t="s">
        <v>81</v>
      </c>
      <c r="D16">
        <f>COUNTIF(F8:F14,"&gt;40")</f>
        <v>3</v>
      </c>
      <c r="F16" t="s">
        <v>61</v>
      </c>
    </row>
    <row r="17" spans="2:6" x14ac:dyDescent="0.4">
      <c r="B17">
        <f>COUNTA(B8:B13)</f>
        <v>6</v>
      </c>
      <c r="E17" t="s">
        <v>63</v>
      </c>
      <c r="F17">
        <f>COUNTIF(F8:F16,"=P")</f>
        <v>1</v>
      </c>
    </row>
    <row r="18" spans="2:6" x14ac:dyDescent="0.4">
      <c r="E18" t="s">
        <v>64</v>
      </c>
      <c r="F18">
        <f>COUNTIF(F8:F16,"=A")</f>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50FC7-9310-41D0-830C-99A7B2600B5C}">
  <dimension ref="A1:P124"/>
  <sheetViews>
    <sheetView workbookViewId="0">
      <selection activeCell="G14" sqref="G14"/>
    </sheetView>
  </sheetViews>
  <sheetFormatPr defaultColWidth="12.4609375" defaultRowHeight="14.6" x14ac:dyDescent="0.4"/>
  <cols>
    <col min="1" max="1" width="12.3046875" bestFit="1" customWidth="1"/>
    <col min="2" max="2" width="12.765625" bestFit="1" customWidth="1"/>
    <col min="3" max="3" width="10" bestFit="1" customWidth="1"/>
    <col min="4" max="4" width="12.765625" bestFit="1" customWidth="1"/>
    <col min="5" max="5" width="10.765625" bestFit="1" customWidth="1"/>
    <col min="6" max="6" width="15.921875" bestFit="1" customWidth="1"/>
    <col min="7" max="7" width="23" bestFit="1" customWidth="1"/>
    <col min="8" max="8" width="16.3046875" bestFit="1" customWidth="1"/>
    <col min="9" max="9" width="10.07421875" bestFit="1" customWidth="1"/>
    <col min="10" max="10" width="12.3046875" bestFit="1" customWidth="1"/>
    <col min="11" max="11" width="18.53515625" bestFit="1" customWidth="1"/>
  </cols>
  <sheetData>
    <row r="1" spans="1:8" x14ac:dyDescent="0.4">
      <c r="A1" s="4" t="s">
        <v>82</v>
      </c>
      <c r="B1" s="4" t="s">
        <v>83</v>
      </c>
      <c r="C1" s="4" t="s">
        <v>84</v>
      </c>
      <c r="D1" s="4" t="s">
        <v>85</v>
      </c>
      <c r="E1" s="4" t="s">
        <v>86</v>
      </c>
      <c r="G1" s="17" t="s">
        <v>117</v>
      </c>
      <c r="H1" s="17"/>
    </row>
    <row r="2" spans="1:8" x14ac:dyDescent="0.4">
      <c r="A2" s="4" t="s">
        <v>87</v>
      </c>
      <c r="B2" s="4" t="s">
        <v>88</v>
      </c>
      <c r="C2" s="4" t="s">
        <v>89</v>
      </c>
      <c r="D2" s="5">
        <v>55000</v>
      </c>
      <c r="E2" s="4" t="s">
        <v>90</v>
      </c>
      <c r="G2" s="17" t="s">
        <v>118</v>
      </c>
      <c r="H2" s="17"/>
    </row>
    <row r="3" spans="1:8" x14ac:dyDescent="0.4">
      <c r="A3" s="4" t="s">
        <v>91</v>
      </c>
      <c r="B3" s="4" t="s">
        <v>92</v>
      </c>
      <c r="C3" s="4" t="s">
        <v>89</v>
      </c>
      <c r="D3" s="5">
        <v>1500</v>
      </c>
      <c r="E3" s="4" t="s">
        <v>93</v>
      </c>
      <c r="G3" s="17">
        <f>VLOOKUP("P101",A1:E11,4,FALSE)</f>
        <v>55000</v>
      </c>
      <c r="H3" s="17"/>
    </row>
    <row r="4" spans="1:8" x14ac:dyDescent="0.4">
      <c r="A4" s="4" t="s">
        <v>94</v>
      </c>
      <c r="B4" s="4" t="s">
        <v>95</v>
      </c>
      <c r="C4" s="4" t="s">
        <v>96</v>
      </c>
      <c r="D4" s="5">
        <v>8500</v>
      </c>
      <c r="E4" s="4" t="s">
        <v>97</v>
      </c>
      <c r="G4" s="17" t="str">
        <f>VLOOKUP("P107",A1:E11,3,FALSE)</f>
        <v>Electronics</v>
      </c>
      <c r="H4" s="17"/>
    </row>
    <row r="5" spans="1:8" x14ac:dyDescent="0.4">
      <c r="A5" s="4" t="s">
        <v>98</v>
      </c>
      <c r="B5" s="4" t="s">
        <v>99</v>
      </c>
      <c r="C5" s="4" t="s">
        <v>96</v>
      </c>
      <c r="D5" s="5">
        <v>12000</v>
      </c>
      <c r="E5" s="4" t="s">
        <v>100</v>
      </c>
      <c r="G5" s="17" t="str">
        <f>VLOOKUP("P109",A1:E11,2,FALSE)</f>
        <v>Headphones</v>
      </c>
      <c r="H5" s="17"/>
    </row>
    <row r="6" spans="1:8" x14ac:dyDescent="0.4">
      <c r="A6" s="4" t="s">
        <v>101</v>
      </c>
      <c r="B6" s="4" t="s">
        <v>102</v>
      </c>
      <c r="C6" s="4" t="s">
        <v>89</v>
      </c>
      <c r="D6" s="5">
        <v>800</v>
      </c>
      <c r="E6" s="4" t="s">
        <v>93</v>
      </c>
      <c r="G6" s="17"/>
      <c r="H6" s="17"/>
    </row>
    <row r="7" spans="1:8" x14ac:dyDescent="0.4">
      <c r="A7" s="4" t="s">
        <v>103</v>
      </c>
      <c r="B7" s="4" t="s">
        <v>104</v>
      </c>
      <c r="C7" s="4" t="s">
        <v>89</v>
      </c>
      <c r="D7" s="5">
        <v>15000</v>
      </c>
      <c r="E7" s="4" t="s">
        <v>105</v>
      </c>
      <c r="G7" s="17"/>
      <c r="H7" s="17"/>
    </row>
    <row r="8" spans="1:8" x14ac:dyDescent="0.4">
      <c r="A8" s="4" t="s">
        <v>106</v>
      </c>
      <c r="B8" s="4" t="s">
        <v>107</v>
      </c>
      <c r="C8" s="4" t="s">
        <v>89</v>
      </c>
      <c r="D8" s="5">
        <v>18000</v>
      </c>
      <c r="E8" s="4" t="s">
        <v>108</v>
      </c>
      <c r="G8" s="17"/>
      <c r="H8" s="17"/>
    </row>
    <row r="9" spans="1:8" x14ac:dyDescent="0.4">
      <c r="A9" s="4" t="s">
        <v>109</v>
      </c>
      <c r="B9" s="4" t="s">
        <v>110</v>
      </c>
      <c r="C9" s="4" t="s">
        <v>96</v>
      </c>
      <c r="D9" s="5">
        <v>7000</v>
      </c>
      <c r="E9" s="4" t="s">
        <v>100</v>
      </c>
      <c r="G9" s="17"/>
      <c r="H9" s="17"/>
    </row>
    <row r="10" spans="1:8" x14ac:dyDescent="0.4">
      <c r="A10" s="4" t="s">
        <v>111</v>
      </c>
      <c r="B10" s="4" t="s">
        <v>112</v>
      </c>
      <c r="C10" s="4" t="s">
        <v>89</v>
      </c>
      <c r="D10" s="5">
        <v>2500</v>
      </c>
      <c r="E10" s="4" t="s">
        <v>113</v>
      </c>
      <c r="G10" s="17"/>
      <c r="H10" s="17"/>
    </row>
    <row r="11" spans="1:8" x14ac:dyDescent="0.4">
      <c r="A11" s="4" t="s">
        <v>114</v>
      </c>
      <c r="B11" s="4" t="s">
        <v>115</v>
      </c>
      <c r="C11" s="4" t="s">
        <v>89</v>
      </c>
      <c r="D11" s="5">
        <v>4500</v>
      </c>
      <c r="E11" s="4" t="s">
        <v>116</v>
      </c>
      <c r="G11" s="17"/>
      <c r="H11" s="17"/>
    </row>
    <row r="12" spans="1:8" x14ac:dyDescent="0.4">
      <c r="G12" s="17"/>
      <c r="H12" s="17"/>
    </row>
    <row r="13" spans="1:8" x14ac:dyDescent="0.4">
      <c r="A13" s="4" t="s">
        <v>82</v>
      </c>
      <c r="B13" t="s">
        <v>84</v>
      </c>
      <c r="C13" t="s">
        <v>86</v>
      </c>
      <c r="G13" s="17" t="s">
        <v>119</v>
      </c>
      <c r="H13" s="17"/>
    </row>
    <row r="14" spans="1:8" x14ac:dyDescent="0.4">
      <c r="A14" s="4" t="s">
        <v>111</v>
      </c>
      <c r="B14" t="str">
        <f>VLOOKUP(A14,A1:E11,3,0)</f>
        <v>Electronics</v>
      </c>
      <c r="G14" s="17">
        <f>VLOOKUP("Laptop",B1:E11,3,FALSE)</f>
        <v>55000</v>
      </c>
      <c r="H14" s="17"/>
    </row>
    <row r="15" spans="1:8" x14ac:dyDescent="0.4">
      <c r="A15" s="4" t="s">
        <v>101</v>
      </c>
      <c r="B15" t="str">
        <f>VLOOKUP(A15,A1:E11,3,FALSE)</f>
        <v>Electronics</v>
      </c>
      <c r="G15" s="17"/>
      <c r="H15" s="17"/>
    </row>
    <row r="16" spans="1:8" x14ac:dyDescent="0.4">
      <c r="A16" s="4" t="s">
        <v>91</v>
      </c>
      <c r="B16" t="str">
        <f>VLOOKUP(A16,A1:E11,3,FALSE)</f>
        <v>Electronics</v>
      </c>
      <c r="G16" s="17" t="s">
        <v>120</v>
      </c>
      <c r="H16" s="17"/>
    </row>
    <row r="17" spans="1:10" x14ac:dyDescent="0.4">
      <c r="G17" s="17" t="str">
        <f>VLOOKUP("Mouse",B1:E11,4,)</f>
        <v>Logitech</v>
      </c>
      <c r="H17" s="17"/>
    </row>
    <row r="18" spans="1:10" x14ac:dyDescent="0.4">
      <c r="G18" s="17"/>
      <c r="H18" s="17"/>
    </row>
    <row r="19" spans="1:10" x14ac:dyDescent="0.4">
      <c r="A19" t="s">
        <v>121</v>
      </c>
      <c r="B19" t="s">
        <v>122</v>
      </c>
      <c r="C19" t="s">
        <v>86</v>
      </c>
      <c r="G19" s="17"/>
      <c r="H19" s="17"/>
    </row>
    <row r="20" spans="1:10" x14ac:dyDescent="0.4">
      <c r="A20" t="s">
        <v>95</v>
      </c>
      <c r="B20">
        <f>VLOOKUP("Office Chair",B1:E11,3,)</f>
        <v>8500</v>
      </c>
      <c r="G20" s="17"/>
      <c r="H20" s="17"/>
    </row>
    <row r="21" spans="1:10" x14ac:dyDescent="0.4">
      <c r="A21" t="s">
        <v>99</v>
      </c>
      <c r="B21">
        <f>VLOOKUP("Desk",B1:E11,3,)</f>
        <v>12000</v>
      </c>
      <c r="G21" s="17"/>
      <c r="H21" s="17"/>
    </row>
    <row r="22" spans="1:10" x14ac:dyDescent="0.4">
      <c r="A22" t="s">
        <v>102</v>
      </c>
      <c r="B22">
        <f>VLOOKUP("Mouse",B1:E11,3,)</f>
        <v>800</v>
      </c>
      <c r="G22" s="17"/>
      <c r="H22" s="17"/>
    </row>
    <row r="23" spans="1:10" x14ac:dyDescent="0.4">
      <c r="A23" t="s">
        <v>104</v>
      </c>
      <c r="B23">
        <f>VLOOKUP(A23,B1:E11,3,)</f>
        <v>15000</v>
      </c>
      <c r="G23" s="17" t="s">
        <v>123</v>
      </c>
      <c r="H23" s="17"/>
    </row>
    <row r="24" spans="1:10" x14ac:dyDescent="0.4">
      <c r="G24" s="17" t="s">
        <v>124</v>
      </c>
      <c r="H24" s="17"/>
    </row>
    <row r="25" spans="1:10" x14ac:dyDescent="0.4">
      <c r="G25" s="17" t="str">
        <f>_xlfn.XLOOKUP("HP",E1:E11,A1:A11,FALSE)</f>
        <v>P101</v>
      </c>
      <c r="H25" s="17"/>
    </row>
    <row r="26" spans="1:10" x14ac:dyDescent="0.4">
      <c r="G26" s="17"/>
      <c r="H26" s="17"/>
    </row>
    <row r="27" spans="1:10" x14ac:dyDescent="0.4">
      <c r="B27" s="18" t="s">
        <v>247</v>
      </c>
      <c r="C27" s="18"/>
      <c r="D27" s="18"/>
      <c r="E27" s="18"/>
      <c r="G27" s="17" t="s">
        <v>240</v>
      </c>
      <c r="H27" s="17" t="s">
        <v>242</v>
      </c>
      <c r="J27" t="s">
        <v>245</v>
      </c>
    </row>
    <row r="28" spans="1:10" x14ac:dyDescent="0.4">
      <c r="B28">
        <f>INDEX(D1:D11,MATCH("Webcam",B1:B11,FALSE))</f>
        <v>4500</v>
      </c>
      <c r="G28" s="17" t="s">
        <v>241</v>
      </c>
      <c r="H28" s="17"/>
    </row>
    <row r="29" spans="1:10" x14ac:dyDescent="0.4">
      <c r="B29" t="s">
        <v>248</v>
      </c>
      <c r="G29" s="17">
        <f>MATCH("P109",A1:A11,FALSE)</f>
        <v>10</v>
      </c>
      <c r="H29" s="17">
        <f>MATCH("Sony",E1:E11,FALSE)</f>
        <v>10</v>
      </c>
      <c r="J29">
        <f>MATCH("Lenovo",E1:E11,FALSE)</f>
        <v>11</v>
      </c>
    </row>
    <row r="30" spans="1:10" x14ac:dyDescent="0.4">
      <c r="B30" t="str">
        <f>INDEX(E1:E11,MATCH("Mouse",B1:B11,FALSE))</f>
        <v>Logitech</v>
      </c>
      <c r="G30" s="17" t="s">
        <v>243</v>
      </c>
      <c r="H30" s="17"/>
      <c r="J30" t="s">
        <v>246</v>
      </c>
    </row>
    <row r="31" spans="1:10" x14ac:dyDescent="0.4">
      <c r="B31" t="s">
        <v>249</v>
      </c>
      <c r="G31" s="17" t="s">
        <v>244</v>
      </c>
      <c r="H31" s="17"/>
    </row>
    <row r="32" spans="1:10" x14ac:dyDescent="0.4">
      <c r="B32">
        <f>INDEX(D1:D11,MATCH("Keyboard",B1:B11,FALSE))</f>
        <v>1500</v>
      </c>
      <c r="G32" s="17" t="str">
        <f>INDEX(E1:E11,3)</f>
        <v>Logitech</v>
      </c>
      <c r="H32" s="17"/>
      <c r="J32" t="str">
        <f>INDEX(B1:B11,5)</f>
        <v>Desk</v>
      </c>
    </row>
    <row r="33" spans="1:8" x14ac:dyDescent="0.4">
      <c r="G33" s="17"/>
      <c r="H33" s="17"/>
    </row>
    <row r="34" spans="1:8" ht="17.149999999999999" x14ac:dyDescent="0.55000000000000004">
      <c r="B34" s="3" t="s">
        <v>250</v>
      </c>
    </row>
    <row r="35" spans="1:8" ht="17.149999999999999" x14ac:dyDescent="0.55000000000000004">
      <c r="B35" s="3">
        <f>INDEX(D1:D11,MATCH("Printer",B1:B11,FALSE))</f>
        <v>15000</v>
      </c>
    </row>
    <row r="36" spans="1:8" ht="17.149999999999999" x14ac:dyDescent="0.55000000000000004">
      <c r="B36" s="3" t="s">
        <v>251</v>
      </c>
    </row>
    <row r="37" spans="1:8" x14ac:dyDescent="0.4">
      <c r="B37" t="str">
        <f>INDEX(C1:C11,MATCH("Webcam",B1:B11,FALSE))</f>
        <v>Electronics</v>
      </c>
    </row>
    <row r="41" spans="1:8" x14ac:dyDescent="0.4">
      <c r="A41" s="4" t="s">
        <v>84</v>
      </c>
      <c r="B41" s="4" t="s">
        <v>85</v>
      </c>
      <c r="C41" s="4" t="s">
        <v>86</v>
      </c>
      <c r="D41" s="4" t="s">
        <v>83</v>
      </c>
      <c r="E41" s="4" t="s">
        <v>82</v>
      </c>
    </row>
    <row r="42" spans="1:8" x14ac:dyDescent="0.4">
      <c r="A42" s="4" t="s">
        <v>89</v>
      </c>
      <c r="B42" s="5">
        <v>55000</v>
      </c>
      <c r="C42" s="4" t="s">
        <v>90</v>
      </c>
      <c r="D42" s="4" t="s">
        <v>88</v>
      </c>
      <c r="E42" s="4" t="s">
        <v>87</v>
      </c>
    </row>
    <row r="43" spans="1:8" x14ac:dyDescent="0.4">
      <c r="A43" s="4" t="s">
        <v>89</v>
      </c>
      <c r="B43" s="5">
        <v>1500</v>
      </c>
      <c r="C43" s="4" t="s">
        <v>93</v>
      </c>
      <c r="D43" s="4" t="s">
        <v>92</v>
      </c>
      <c r="E43" s="4" t="s">
        <v>91</v>
      </c>
    </row>
    <row r="44" spans="1:8" x14ac:dyDescent="0.4">
      <c r="A44" s="4" t="s">
        <v>96</v>
      </c>
      <c r="B44" s="5">
        <v>8500</v>
      </c>
      <c r="C44" s="4" t="s">
        <v>97</v>
      </c>
      <c r="D44" s="4" t="s">
        <v>95</v>
      </c>
      <c r="E44" s="4" t="s">
        <v>94</v>
      </c>
    </row>
    <row r="45" spans="1:8" x14ac:dyDescent="0.4">
      <c r="A45" s="4" t="s">
        <v>96</v>
      </c>
      <c r="B45" s="5">
        <v>12000</v>
      </c>
      <c r="C45" s="4" t="s">
        <v>100</v>
      </c>
      <c r="D45" s="4" t="s">
        <v>99</v>
      </c>
      <c r="E45" s="4" t="s">
        <v>98</v>
      </c>
    </row>
    <row r="46" spans="1:8" x14ac:dyDescent="0.4">
      <c r="A46" s="4" t="s">
        <v>89</v>
      </c>
      <c r="B46" s="5">
        <v>800</v>
      </c>
      <c r="C46" s="4" t="s">
        <v>93</v>
      </c>
      <c r="D46" s="4" t="s">
        <v>102</v>
      </c>
      <c r="E46" s="4" t="s">
        <v>101</v>
      </c>
    </row>
    <row r="47" spans="1:8" x14ac:dyDescent="0.4">
      <c r="A47" s="4" t="s">
        <v>89</v>
      </c>
      <c r="B47" s="5">
        <v>15000</v>
      </c>
      <c r="C47" s="4" t="s">
        <v>105</v>
      </c>
      <c r="D47" s="4" t="s">
        <v>104</v>
      </c>
      <c r="E47" s="4" t="s">
        <v>103</v>
      </c>
    </row>
    <row r="48" spans="1:8" x14ac:dyDescent="0.4">
      <c r="A48" s="4" t="s">
        <v>89</v>
      </c>
      <c r="B48" s="5">
        <v>18000</v>
      </c>
      <c r="C48" s="4" t="s">
        <v>108</v>
      </c>
      <c r="D48" s="4" t="s">
        <v>107</v>
      </c>
      <c r="E48" s="4" t="s">
        <v>106</v>
      </c>
    </row>
    <row r="49" spans="1:16" x14ac:dyDescent="0.4">
      <c r="A49" s="4" t="s">
        <v>96</v>
      </c>
      <c r="B49" s="5">
        <v>7000</v>
      </c>
      <c r="C49" s="4" t="s">
        <v>100</v>
      </c>
      <c r="D49" s="4" t="s">
        <v>110</v>
      </c>
      <c r="E49" s="4" t="s">
        <v>109</v>
      </c>
    </row>
    <row r="50" spans="1:16" x14ac:dyDescent="0.4">
      <c r="A50" s="4" t="s">
        <v>89</v>
      </c>
      <c r="B50" s="5">
        <v>2500</v>
      </c>
      <c r="C50" s="4" t="s">
        <v>113</v>
      </c>
      <c r="D50" s="4" t="s">
        <v>112</v>
      </c>
      <c r="E50" s="4" t="s">
        <v>111</v>
      </c>
    </row>
    <row r="51" spans="1:16" x14ac:dyDescent="0.4">
      <c r="A51" s="4" t="s">
        <v>89</v>
      </c>
      <c r="B51" s="5">
        <v>4500</v>
      </c>
      <c r="C51" s="4" t="s">
        <v>116</v>
      </c>
      <c r="D51" s="4" t="s">
        <v>115</v>
      </c>
      <c r="E51" s="4" t="s">
        <v>114</v>
      </c>
    </row>
    <row r="54" spans="1:16" x14ac:dyDescent="0.4">
      <c r="A54" s="8" t="s">
        <v>125</v>
      </c>
      <c r="B54" s="9" t="s">
        <v>2</v>
      </c>
      <c r="C54" s="8" t="s">
        <v>126</v>
      </c>
      <c r="D54" s="9" t="s">
        <v>127</v>
      </c>
      <c r="E54" s="9" t="s">
        <v>128</v>
      </c>
      <c r="F54" s="9" t="s">
        <v>129</v>
      </c>
      <c r="H54" s="8" t="s">
        <v>131</v>
      </c>
      <c r="I54" s="9" t="s">
        <v>132</v>
      </c>
      <c r="J54" s="9" t="s">
        <v>133</v>
      </c>
      <c r="K54" s="8" t="s">
        <v>134</v>
      </c>
      <c r="L54" s="8" t="s">
        <v>238</v>
      </c>
      <c r="M54" t="s">
        <v>125</v>
      </c>
      <c r="N54" t="s">
        <v>66</v>
      </c>
      <c r="O54" t="s">
        <v>200</v>
      </c>
      <c r="P54" t="s">
        <v>130</v>
      </c>
    </row>
    <row r="55" spans="1:16" x14ac:dyDescent="0.4">
      <c r="A55" s="10">
        <v>1001</v>
      </c>
      <c r="B55" s="11" t="s">
        <v>135</v>
      </c>
      <c r="C55" s="10">
        <v>28</v>
      </c>
      <c r="D55" s="11" t="s">
        <v>136</v>
      </c>
      <c r="E55" s="11" t="s">
        <v>137</v>
      </c>
      <c r="F55" s="11" t="s">
        <v>138</v>
      </c>
      <c r="G55" s="8" t="s">
        <v>130</v>
      </c>
      <c r="H55" s="10">
        <v>4</v>
      </c>
      <c r="I55" s="11" t="s">
        <v>139</v>
      </c>
      <c r="J55" s="12">
        <v>44635</v>
      </c>
      <c r="K55" s="10">
        <v>4</v>
      </c>
      <c r="L55">
        <f>IF(G56&lt;=50000,G56*0.05,G56*0.1)</f>
        <v>6500</v>
      </c>
      <c r="M55">
        <v>1003</v>
      </c>
      <c r="N55">
        <f>VLOOKUP(M55,A54:K83,3,FALSE)</f>
        <v>26</v>
      </c>
      <c r="O55" t="str">
        <f>VLOOKUP(M55,A54:K83,6,FALSE)</f>
        <v>Accountant</v>
      </c>
    </row>
    <row r="56" spans="1:16" x14ac:dyDescent="0.4">
      <c r="A56" s="10">
        <v>1002</v>
      </c>
      <c r="B56" s="11" t="s">
        <v>140</v>
      </c>
      <c r="C56" s="10">
        <v>32</v>
      </c>
      <c r="D56" s="11" t="s">
        <v>141</v>
      </c>
      <c r="E56" s="11" t="s">
        <v>142</v>
      </c>
      <c r="F56" s="11" t="s">
        <v>143</v>
      </c>
      <c r="G56" s="10">
        <v>65000</v>
      </c>
      <c r="H56" s="10">
        <v>8</v>
      </c>
      <c r="I56" s="11" t="s">
        <v>144</v>
      </c>
      <c r="J56" s="12">
        <v>43301</v>
      </c>
      <c r="K56" s="10">
        <v>5</v>
      </c>
      <c r="L56">
        <f t="shared" ref="L56:L83" si="0">IF(G57&lt;=50000,G57*0.05,G57*0.1)</f>
        <v>8500</v>
      </c>
      <c r="M56">
        <v>1007</v>
      </c>
      <c r="N56">
        <f>VLOOKUP(M56,A54:K83,3,FALSE)</f>
        <v>31</v>
      </c>
      <c r="O56" t="str">
        <f>VLOOKUP(M56,A55:K83,6,FALSE)</f>
        <v>Team Lead</v>
      </c>
    </row>
    <row r="57" spans="1:16" x14ac:dyDescent="0.4">
      <c r="A57" s="10">
        <v>1003</v>
      </c>
      <c r="B57" s="11" t="s">
        <v>145</v>
      </c>
      <c r="C57" s="10">
        <v>26</v>
      </c>
      <c r="D57" s="11" t="s">
        <v>136</v>
      </c>
      <c r="E57" s="11" t="s">
        <v>146</v>
      </c>
      <c r="F57" s="11" t="s">
        <v>147</v>
      </c>
      <c r="G57" s="10">
        <v>85000</v>
      </c>
      <c r="H57" s="10">
        <v>3</v>
      </c>
      <c r="I57" s="11" t="s">
        <v>139</v>
      </c>
      <c r="J57" s="12">
        <v>44936</v>
      </c>
      <c r="K57" s="10">
        <v>3</v>
      </c>
      <c r="L57">
        <f t="shared" si="0"/>
        <v>5200</v>
      </c>
      <c r="M57">
        <v>1006</v>
      </c>
      <c r="N57">
        <f>VLOOKUP(M57,A54:K83,3,FALSE)</f>
        <v>27</v>
      </c>
      <c r="O57" t="str">
        <f>VLOOKUP(M57,A56:K83,6,FALSE)</f>
        <v>Executive</v>
      </c>
    </row>
    <row r="58" spans="1:16" x14ac:dyDescent="0.4">
      <c r="A58" s="10">
        <v>1004</v>
      </c>
      <c r="B58" s="11" t="s">
        <v>148</v>
      </c>
      <c r="C58" s="10">
        <v>30</v>
      </c>
      <c r="D58" s="11" t="s">
        <v>141</v>
      </c>
      <c r="E58" s="11" t="s">
        <v>137</v>
      </c>
      <c r="F58" s="11" t="s">
        <v>149</v>
      </c>
      <c r="G58" s="10">
        <v>52000</v>
      </c>
      <c r="H58" s="10">
        <v>5</v>
      </c>
      <c r="I58" s="11" t="s">
        <v>150</v>
      </c>
      <c r="J58" s="12">
        <v>44328</v>
      </c>
      <c r="K58" s="10">
        <v>4</v>
      </c>
      <c r="L58">
        <f t="shared" si="0"/>
        <v>7200</v>
      </c>
      <c r="M58">
        <v>1008</v>
      </c>
      <c r="N58">
        <f>VLOOKUP(M58,A54:K83,3,FALSE)</f>
        <v>29</v>
      </c>
      <c r="O58" t="str">
        <f>VLOOKUP(M58,A57:K96,6,FALSE)</f>
        <v>Financial Analyst</v>
      </c>
    </row>
    <row r="59" spans="1:16" x14ac:dyDescent="0.4">
      <c r="A59" s="10">
        <v>1005</v>
      </c>
      <c r="B59" s="11" t="s">
        <v>151</v>
      </c>
      <c r="C59" s="10">
        <v>35</v>
      </c>
      <c r="D59" s="11" t="s">
        <v>136</v>
      </c>
      <c r="E59" s="11" t="s">
        <v>152</v>
      </c>
      <c r="F59" s="11" t="s">
        <v>153</v>
      </c>
      <c r="G59" s="10">
        <v>72000</v>
      </c>
      <c r="H59" s="10">
        <v>10</v>
      </c>
      <c r="I59" s="11" t="s">
        <v>154</v>
      </c>
      <c r="J59" s="12">
        <v>42607</v>
      </c>
      <c r="K59" s="10">
        <v>5</v>
      </c>
      <c r="L59">
        <f t="shared" si="0"/>
        <v>9000</v>
      </c>
    </row>
    <row r="60" spans="1:16" x14ac:dyDescent="0.4">
      <c r="A60" s="10">
        <v>1006</v>
      </c>
      <c r="B60" s="11" t="s">
        <v>155</v>
      </c>
      <c r="C60" s="10">
        <v>27</v>
      </c>
      <c r="D60" s="11" t="s">
        <v>141</v>
      </c>
      <c r="E60" s="11" t="s">
        <v>156</v>
      </c>
      <c r="F60" s="11" t="s">
        <v>157</v>
      </c>
      <c r="G60" s="10">
        <v>90000</v>
      </c>
      <c r="H60" s="10">
        <v>2</v>
      </c>
      <c r="I60" s="11" t="s">
        <v>139</v>
      </c>
      <c r="J60" s="12">
        <v>45340</v>
      </c>
      <c r="K60" s="10">
        <v>3</v>
      </c>
      <c r="L60">
        <f t="shared" si="0"/>
        <v>2400</v>
      </c>
    </row>
    <row r="61" spans="1:16" x14ac:dyDescent="0.4">
      <c r="A61" s="10">
        <v>1007</v>
      </c>
      <c r="B61" s="11" t="s">
        <v>158</v>
      </c>
      <c r="C61" s="10">
        <v>31</v>
      </c>
      <c r="D61" s="11" t="s">
        <v>136</v>
      </c>
      <c r="E61" s="11" t="s">
        <v>137</v>
      </c>
      <c r="F61" s="11" t="s">
        <v>159</v>
      </c>
      <c r="G61" s="10">
        <v>48000</v>
      </c>
      <c r="H61" s="10">
        <v>9</v>
      </c>
      <c r="I61" s="11" t="s">
        <v>160</v>
      </c>
      <c r="J61" s="12">
        <v>43044</v>
      </c>
      <c r="K61" s="10">
        <v>4</v>
      </c>
      <c r="L61">
        <f t="shared" si="0"/>
        <v>9800</v>
      </c>
    </row>
    <row r="62" spans="1:16" x14ac:dyDescent="0.4">
      <c r="A62" s="10">
        <v>1008</v>
      </c>
      <c r="B62" s="11" t="s">
        <v>161</v>
      </c>
      <c r="C62" s="10">
        <v>29</v>
      </c>
      <c r="D62" s="11" t="s">
        <v>141</v>
      </c>
      <c r="E62" s="11" t="s">
        <v>146</v>
      </c>
      <c r="F62" s="11" t="s">
        <v>162</v>
      </c>
      <c r="G62" s="10">
        <v>98000</v>
      </c>
      <c r="H62" s="10">
        <v>5</v>
      </c>
      <c r="I62" s="11" t="s">
        <v>150</v>
      </c>
      <c r="J62" s="12">
        <v>44453</v>
      </c>
      <c r="K62" s="10">
        <v>4</v>
      </c>
      <c r="L62">
        <f t="shared" si="0"/>
        <v>6800</v>
      </c>
    </row>
    <row r="63" spans="1:16" x14ac:dyDescent="0.4">
      <c r="A63" s="10">
        <v>1009</v>
      </c>
      <c r="B63" s="11" t="s">
        <v>163</v>
      </c>
      <c r="C63" s="10">
        <v>25</v>
      </c>
      <c r="D63" s="11" t="s">
        <v>136</v>
      </c>
      <c r="E63" s="11" t="s">
        <v>152</v>
      </c>
      <c r="F63" s="11" t="s">
        <v>164</v>
      </c>
      <c r="G63" s="10">
        <v>68000</v>
      </c>
      <c r="H63" s="10">
        <v>2</v>
      </c>
      <c r="I63" s="11" t="s">
        <v>144</v>
      </c>
      <c r="J63" s="12">
        <v>45313</v>
      </c>
      <c r="K63" s="10">
        <v>3</v>
      </c>
      <c r="L63">
        <f t="shared" si="0"/>
        <v>2250</v>
      </c>
    </row>
    <row r="64" spans="1:16" x14ac:dyDescent="0.4">
      <c r="A64" s="10">
        <v>1010</v>
      </c>
      <c r="B64" s="11" t="s">
        <v>165</v>
      </c>
      <c r="C64" s="10">
        <v>34</v>
      </c>
      <c r="D64" s="11" t="s">
        <v>141</v>
      </c>
      <c r="E64" s="11" t="s">
        <v>142</v>
      </c>
      <c r="F64" s="11" t="s">
        <v>166</v>
      </c>
      <c r="G64" s="10">
        <v>45000</v>
      </c>
      <c r="H64" s="10">
        <v>6</v>
      </c>
      <c r="I64" s="11" t="s">
        <v>139</v>
      </c>
      <c r="J64" s="12">
        <v>43993</v>
      </c>
      <c r="K64" s="10">
        <v>4</v>
      </c>
      <c r="L64">
        <f t="shared" si="0"/>
        <v>5800</v>
      </c>
      <c r="M64" s="13" t="s">
        <v>2</v>
      </c>
      <c r="N64" s="13" t="s">
        <v>133</v>
      </c>
      <c r="O64" s="13" t="s">
        <v>132</v>
      </c>
      <c r="P64" s="14"/>
    </row>
    <row r="65" spans="1:16" x14ac:dyDescent="0.4">
      <c r="A65" s="10">
        <v>1011</v>
      </c>
      <c r="B65" s="11" t="s">
        <v>167</v>
      </c>
      <c r="C65" s="10">
        <v>29</v>
      </c>
      <c r="D65" s="11" t="s">
        <v>136</v>
      </c>
      <c r="E65" s="11" t="s">
        <v>137</v>
      </c>
      <c r="F65" s="11" t="s">
        <v>138</v>
      </c>
      <c r="G65" s="10">
        <v>58000</v>
      </c>
      <c r="H65" s="10">
        <v>5</v>
      </c>
      <c r="I65" s="11" t="s">
        <v>168</v>
      </c>
      <c r="J65" s="12">
        <v>44263</v>
      </c>
      <c r="K65" s="10">
        <v>5</v>
      </c>
      <c r="L65">
        <f t="shared" si="0"/>
        <v>7000</v>
      </c>
      <c r="M65" s="13" t="s">
        <v>151</v>
      </c>
      <c r="N65" s="14">
        <f>_xlfn.XLOOKUP(M65,B54:B83,J54:J83,FALSE)</f>
        <v>42607</v>
      </c>
      <c r="O65" s="14"/>
      <c r="P65" s="14"/>
    </row>
    <row r="66" spans="1:16" x14ac:dyDescent="0.4">
      <c r="A66" s="10">
        <v>1012</v>
      </c>
      <c r="B66" s="11" t="s">
        <v>169</v>
      </c>
      <c r="C66" s="10">
        <v>38</v>
      </c>
      <c r="D66" s="11" t="s">
        <v>141</v>
      </c>
      <c r="E66" s="11" t="s">
        <v>146</v>
      </c>
      <c r="F66" s="11" t="s">
        <v>170</v>
      </c>
      <c r="G66" s="10">
        <v>70000</v>
      </c>
      <c r="H66" s="10">
        <v>12</v>
      </c>
      <c r="I66" s="11" t="s">
        <v>154</v>
      </c>
      <c r="J66" s="12">
        <v>41746</v>
      </c>
      <c r="K66" s="10">
        <v>5</v>
      </c>
      <c r="L66">
        <f t="shared" si="0"/>
        <v>10500</v>
      </c>
      <c r="M66" s="13" t="s">
        <v>155</v>
      </c>
      <c r="N66" s="14"/>
      <c r="O66" s="14"/>
      <c r="P66" s="14"/>
    </row>
    <row r="67" spans="1:16" x14ac:dyDescent="0.4">
      <c r="A67" s="10">
        <v>1013</v>
      </c>
      <c r="B67" s="11" t="s">
        <v>171</v>
      </c>
      <c r="C67" s="10">
        <v>27</v>
      </c>
      <c r="D67" s="11" t="s">
        <v>136</v>
      </c>
      <c r="E67" s="11" t="s">
        <v>156</v>
      </c>
      <c r="F67" s="11" t="s">
        <v>157</v>
      </c>
      <c r="G67" s="10">
        <v>105000</v>
      </c>
      <c r="H67" s="10">
        <v>3</v>
      </c>
      <c r="I67" s="11" t="s">
        <v>172</v>
      </c>
      <c r="J67" s="12">
        <v>45108</v>
      </c>
      <c r="K67" s="10">
        <v>3</v>
      </c>
      <c r="L67">
        <f t="shared" si="0"/>
        <v>2500</v>
      </c>
      <c r="M67" s="13" t="s">
        <v>158</v>
      </c>
      <c r="N67" s="14"/>
      <c r="O67" s="14"/>
      <c r="P67" s="14"/>
    </row>
    <row r="68" spans="1:16" x14ac:dyDescent="0.4">
      <c r="A68" s="10">
        <v>1014</v>
      </c>
      <c r="B68" s="11" t="s">
        <v>173</v>
      </c>
      <c r="C68" s="10">
        <v>33</v>
      </c>
      <c r="D68" s="11" t="s">
        <v>141</v>
      </c>
      <c r="E68" s="11" t="s">
        <v>137</v>
      </c>
      <c r="F68" s="11" t="s">
        <v>174</v>
      </c>
      <c r="G68" s="10">
        <v>50000</v>
      </c>
      <c r="H68" s="10">
        <v>11</v>
      </c>
      <c r="I68" s="11" t="s">
        <v>150</v>
      </c>
      <c r="J68" s="12">
        <v>42296</v>
      </c>
      <c r="K68" s="10">
        <v>5</v>
      </c>
      <c r="L68">
        <f t="shared" si="0"/>
        <v>11000</v>
      </c>
      <c r="M68" s="13" t="s">
        <v>161</v>
      </c>
      <c r="N68" s="14"/>
      <c r="O68" s="14"/>
      <c r="P68" s="14"/>
    </row>
    <row r="69" spans="1:16" x14ac:dyDescent="0.4">
      <c r="A69" s="10">
        <v>1015</v>
      </c>
      <c r="B69" s="11" t="s">
        <v>175</v>
      </c>
      <c r="C69" s="10">
        <v>30</v>
      </c>
      <c r="D69" s="11" t="s">
        <v>136</v>
      </c>
      <c r="E69" s="11" t="s">
        <v>152</v>
      </c>
      <c r="F69" s="11" t="s">
        <v>164</v>
      </c>
      <c r="G69" s="10">
        <v>110000</v>
      </c>
      <c r="H69" s="10">
        <v>4</v>
      </c>
      <c r="I69" s="11" t="s">
        <v>176</v>
      </c>
      <c r="J69" s="12">
        <v>44900</v>
      </c>
      <c r="K69" s="10">
        <v>3</v>
      </c>
      <c r="L69">
        <f t="shared" si="0"/>
        <v>2350</v>
      </c>
      <c r="M69" s="15" t="s">
        <v>163</v>
      </c>
      <c r="N69" s="14"/>
      <c r="O69" s="14"/>
      <c r="P69" s="14"/>
    </row>
    <row r="70" spans="1:16" x14ac:dyDescent="0.4">
      <c r="A70" s="10">
        <v>1016</v>
      </c>
      <c r="B70" s="11" t="s">
        <v>177</v>
      </c>
      <c r="C70" s="10">
        <v>26</v>
      </c>
      <c r="D70" s="11" t="s">
        <v>141</v>
      </c>
      <c r="E70" s="11" t="s">
        <v>142</v>
      </c>
      <c r="F70" s="11" t="s">
        <v>178</v>
      </c>
      <c r="G70" s="10">
        <v>47000</v>
      </c>
      <c r="H70" s="10">
        <v>2</v>
      </c>
      <c r="I70" s="11" t="s">
        <v>139</v>
      </c>
      <c r="J70" s="12">
        <v>45363</v>
      </c>
      <c r="K70" s="10">
        <v>4</v>
      </c>
      <c r="L70">
        <f t="shared" si="0"/>
        <v>2300</v>
      </c>
      <c r="M70" s="13" t="s">
        <v>165</v>
      </c>
      <c r="N70" s="14"/>
      <c r="O70" s="14"/>
      <c r="P70" s="14"/>
    </row>
    <row r="71" spans="1:16" x14ac:dyDescent="0.4">
      <c r="A71" s="10">
        <v>1017</v>
      </c>
      <c r="B71" s="11" t="s">
        <v>179</v>
      </c>
      <c r="C71" s="10">
        <v>40</v>
      </c>
      <c r="D71" s="11" t="s">
        <v>136</v>
      </c>
      <c r="E71" s="11" t="s">
        <v>137</v>
      </c>
      <c r="F71" s="11" t="s">
        <v>180</v>
      </c>
      <c r="G71" s="10">
        <v>46000</v>
      </c>
      <c r="H71" s="10">
        <v>15</v>
      </c>
      <c r="I71" s="11" t="s">
        <v>160</v>
      </c>
      <c r="J71" s="12">
        <v>40595</v>
      </c>
      <c r="K71" s="10">
        <v>5</v>
      </c>
      <c r="L71">
        <f t="shared" si="0"/>
        <v>12500</v>
      </c>
    </row>
    <row r="72" spans="1:16" x14ac:dyDescent="0.4">
      <c r="A72" s="10">
        <v>1018</v>
      </c>
      <c r="B72" s="11" t="s">
        <v>181</v>
      </c>
      <c r="C72" s="10">
        <v>31</v>
      </c>
      <c r="D72" s="11" t="s">
        <v>141</v>
      </c>
      <c r="E72" s="11" t="s">
        <v>156</v>
      </c>
      <c r="F72" s="11" t="s">
        <v>182</v>
      </c>
      <c r="G72" s="10">
        <v>125000</v>
      </c>
      <c r="H72" s="10">
        <v>8</v>
      </c>
      <c r="I72" s="11" t="s">
        <v>144</v>
      </c>
      <c r="J72" s="12">
        <v>43353</v>
      </c>
      <c r="K72" s="10">
        <v>4</v>
      </c>
      <c r="L72">
        <f t="shared" si="0"/>
        <v>9200</v>
      </c>
    </row>
    <row r="73" spans="1:16" ht="17.149999999999999" x14ac:dyDescent="0.55000000000000004">
      <c r="A73" s="10">
        <v>1019</v>
      </c>
      <c r="B73" s="11" t="s">
        <v>183</v>
      </c>
      <c r="C73" s="10">
        <v>28</v>
      </c>
      <c r="D73" s="11" t="s">
        <v>136</v>
      </c>
      <c r="E73" s="11" t="s">
        <v>146</v>
      </c>
      <c r="F73" s="11" t="s">
        <v>147</v>
      </c>
      <c r="G73" s="10">
        <v>92000</v>
      </c>
      <c r="H73" s="10">
        <v>4</v>
      </c>
      <c r="I73" s="11" t="s">
        <v>168</v>
      </c>
      <c r="J73" s="12">
        <v>44728</v>
      </c>
      <c r="K73" s="10">
        <v>3</v>
      </c>
      <c r="L73">
        <f t="shared" si="0"/>
        <v>5500</v>
      </c>
      <c r="M73" s="3" t="s">
        <v>234</v>
      </c>
    </row>
    <row r="74" spans="1:16" ht="17.149999999999999" x14ac:dyDescent="0.55000000000000004">
      <c r="A74" s="10">
        <v>1020</v>
      </c>
      <c r="B74" s="11" t="s">
        <v>184</v>
      </c>
      <c r="C74" s="10">
        <v>29</v>
      </c>
      <c r="D74" s="11" t="s">
        <v>141</v>
      </c>
      <c r="E74" s="11" t="s">
        <v>152</v>
      </c>
      <c r="F74" s="11" t="s">
        <v>164</v>
      </c>
      <c r="G74" s="10">
        <v>55000</v>
      </c>
      <c r="H74" s="10">
        <v>3</v>
      </c>
      <c r="I74" s="11" t="s">
        <v>185</v>
      </c>
      <c r="J74" s="12">
        <v>45041</v>
      </c>
      <c r="K74" s="10">
        <v>4</v>
      </c>
      <c r="L74">
        <f t="shared" si="0"/>
        <v>2450</v>
      </c>
      <c r="M74" s="3">
        <f>COUNTIF(E54:E83,"IT")</f>
        <v>9</v>
      </c>
    </row>
    <row r="75" spans="1:16" ht="17.149999999999999" x14ac:dyDescent="0.55000000000000004">
      <c r="A75" s="10">
        <v>1021</v>
      </c>
      <c r="B75" s="11" t="s">
        <v>186</v>
      </c>
      <c r="C75" s="10">
        <v>36</v>
      </c>
      <c r="D75" s="11" t="s">
        <v>136</v>
      </c>
      <c r="E75" s="11" t="s">
        <v>137</v>
      </c>
      <c r="F75" s="11" t="s">
        <v>187</v>
      </c>
      <c r="G75" s="10">
        <v>49000</v>
      </c>
      <c r="H75" s="10">
        <v>13</v>
      </c>
      <c r="I75" s="11" t="s">
        <v>154</v>
      </c>
      <c r="J75" s="12">
        <v>41495</v>
      </c>
      <c r="K75" s="10">
        <v>5</v>
      </c>
      <c r="L75">
        <f t="shared" si="0"/>
        <v>13500</v>
      </c>
      <c r="M75" s="3" t="s">
        <v>201</v>
      </c>
    </row>
    <row r="76" spans="1:16" ht="17.149999999999999" x14ac:dyDescent="0.55000000000000004">
      <c r="A76" s="10">
        <v>1022</v>
      </c>
      <c r="B76" s="11" t="s">
        <v>188</v>
      </c>
      <c r="C76" s="10">
        <v>27</v>
      </c>
      <c r="D76" s="11" t="s">
        <v>141</v>
      </c>
      <c r="E76" s="11" t="s">
        <v>142</v>
      </c>
      <c r="F76" s="11" t="s">
        <v>166</v>
      </c>
      <c r="G76" s="10">
        <v>135000</v>
      </c>
      <c r="H76" s="10">
        <v>3</v>
      </c>
      <c r="I76" s="11" t="s">
        <v>189</v>
      </c>
      <c r="J76" s="12">
        <v>44971</v>
      </c>
      <c r="K76" s="10">
        <v>3</v>
      </c>
      <c r="L76">
        <f t="shared" si="0"/>
        <v>5400</v>
      </c>
      <c r="M76" s="3">
        <f>SUMIF(E54:E83,"HR",G55:G84)</f>
        <v>243000</v>
      </c>
    </row>
    <row r="77" spans="1:16" ht="17.149999999999999" x14ac:dyDescent="0.55000000000000004">
      <c r="A77" s="10">
        <v>1023</v>
      </c>
      <c r="B77" s="11" t="s">
        <v>190</v>
      </c>
      <c r="C77" s="10">
        <v>32</v>
      </c>
      <c r="D77" s="11" t="s">
        <v>136</v>
      </c>
      <c r="E77" s="11" t="s">
        <v>152</v>
      </c>
      <c r="F77" s="11" t="s">
        <v>153</v>
      </c>
      <c r="G77" s="10">
        <v>54000</v>
      </c>
      <c r="H77" s="10">
        <v>9</v>
      </c>
      <c r="I77" s="11" t="s">
        <v>160</v>
      </c>
      <c r="J77" s="12">
        <v>42877</v>
      </c>
      <c r="K77" s="10">
        <v>4</v>
      </c>
      <c r="L77">
        <f t="shared" si="0"/>
        <v>8800</v>
      </c>
      <c r="M77" s="3" t="s">
        <v>237</v>
      </c>
    </row>
    <row r="78" spans="1:16" ht="17.149999999999999" x14ac:dyDescent="0.55000000000000004">
      <c r="A78" s="10">
        <v>1024</v>
      </c>
      <c r="B78" s="11" t="s">
        <v>191</v>
      </c>
      <c r="C78" s="10">
        <v>30</v>
      </c>
      <c r="D78" s="11" t="s">
        <v>141</v>
      </c>
      <c r="E78" s="11" t="s">
        <v>146</v>
      </c>
      <c r="F78" s="11" t="s">
        <v>162</v>
      </c>
      <c r="G78" s="10">
        <v>88000</v>
      </c>
      <c r="H78" s="10">
        <v>5</v>
      </c>
      <c r="I78" s="11" t="s">
        <v>192</v>
      </c>
      <c r="J78" s="12">
        <v>44503</v>
      </c>
      <c r="K78" s="10">
        <v>4</v>
      </c>
      <c r="L78">
        <f t="shared" si="0"/>
        <v>6500</v>
      </c>
      <c r="M78" s="3" t="s">
        <v>239</v>
      </c>
    </row>
    <row r="79" spans="1:16" x14ac:dyDescent="0.4">
      <c r="A79" s="10">
        <v>1025</v>
      </c>
      <c r="B79" s="11" t="s">
        <v>193</v>
      </c>
      <c r="C79" s="10">
        <v>42</v>
      </c>
      <c r="D79" s="11" t="s">
        <v>136</v>
      </c>
      <c r="E79" s="11" t="s">
        <v>137</v>
      </c>
      <c r="F79" s="11" t="s">
        <v>194</v>
      </c>
      <c r="G79" s="10">
        <v>65000</v>
      </c>
      <c r="H79" s="10">
        <v>18</v>
      </c>
      <c r="I79" s="11" t="s">
        <v>139</v>
      </c>
      <c r="J79" s="12">
        <v>39462</v>
      </c>
      <c r="K79" s="10">
        <v>5</v>
      </c>
      <c r="L79">
        <f t="shared" si="0"/>
        <v>14500</v>
      </c>
    </row>
    <row r="80" spans="1:16" x14ac:dyDescent="0.4">
      <c r="A80" s="10">
        <v>1026</v>
      </c>
      <c r="B80" s="11" t="s">
        <v>195</v>
      </c>
      <c r="C80" s="10">
        <v>25</v>
      </c>
      <c r="D80" s="11" t="s">
        <v>141</v>
      </c>
      <c r="E80" s="11" t="s">
        <v>156</v>
      </c>
      <c r="F80" s="11" t="s">
        <v>157</v>
      </c>
      <c r="G80" s="10">
        <v>145000</v>
      </c>
      <c r="H80" s="10">
        <v>1</v>
      </c>
      <c r="I80" s="11" t="s">
        <v>172</v>
      </c>
      <c r="J80" s="12">
        <v>45667</v>
      </c>
      <c r="K80" s="10">
        <v>3</v>
      </c>
      <c r="L80">
        <f t="shared" si="0"/>
        <v>2200</v>
      </c>
    </row>
    <row r="81" spans="1:14" x14ac:dyDescent="0.4">
      <c r="A81" s="10">
        <v>1027</v>
      </c>
      <c r="B81" s="11" t="s">
        <v>196</v>
      </c>
      <c r="C81" s="10">
        <v>34</v>
      </c>
      <c r="D81" s="11" t="s">
        <v>136</v>
      </c>
      <c r="E81" s="11" t="s">
        <v>146</v>
      </c>
      <c r="F81" s="11" t="s">
        <v>197</v>
      </c>
      <c r="G81" s="10">
        <v>44000</v>
      </c>
      <c r="H81" s="10">
        <v>8</v>
      </c>
      <c r="I81" s="11" t="s">
        <v>139</v>
      </c>
      <c r="J81" s="12">
        <v>43446</v>
      </c>
      <c r="K81" s="10">
        <v>4</v>
      </c>
      <c r="L81">
        <f t="shared" si="0"/>
        <v>7800</v>
      </c>
    </row>
    <row r="82" spans="1:14" x14ac:dyDescent="0.4">
      <c r="A82" s="10">
        <v>1028</v>
      </c>
      <c r="B82" s="11" t="s">
        <v>198</v>
      </c>
      <c r="C82" s="10">
        <v>28</v>
      </c>
      <c r="D82" s="11" t="s">
        <v>141</v>
      </c>
      <c r="E82" s="11" t="s">
        <v>137</v>
      </c>
      <c r="F82" s="11" t="s">
        <v>149</v>
      </c>
      <c r="G82" s="10">
        <v>78000</v>
      </c>
      <c r="H82" s="10">
        <v>4</v>
      </c>
      <c r="I82" s="11" t="s">
        <v>144</v>
      </c>
      <c r="J82" s="12">
        <v>44699</v>
      </c>
      <c r="K82" s="10">
        <v>4</v>
      </c>
      <c r="L82">
        <f t="shared" si="0"/>
        <v>6900</v>
      </c>
    </row>
    <row r="83" spans="1:14" x14ac:dyDescent="0.4">
      <c r="A83" s="10">
        <v>1029</v>
      </c>
      <c r="B83" s="11" t="s">
        <v>199</v>
      </c>
      <c r="C83" s="10">
        <v>37</v>
      </c>
      <c r="D83" s="11" t="s">
        <v>136</v>
      </c>
      <c r="E83" s="11" t="s">
        <v>152</v>
      </c>
      <c r="F83" s="11" t="s">
        <v>153</v>
      </c>
      <c r="G83" s="10">
        <v>69000</v>
      </c>
      <c r="H83" s="10">
        <v>11</v>
      </c>
      <c r="I83" s="11" t="s">
        <v>168</v>
      </c>
      <c r="J83" s="12">
        <v>42185</v>
      </c>
      <c r="K83" s="11"/>
      <c r="L83">
        <f t="shared" si="0"/>
        <v>9500</v>
      </c>
    </row>
    <row r="84" spans="1:14" x14ac:dyDescent="0.4">
      <c r="G84" s="10">
        <v>95000</v>
      </c>
      <c r="M84" s="7" t="s">
        <v>226</v>
      </c>
      <c r="N84" s="16" t="s">
        <v>227</v>
      </c>
    </row>
    <row r="85" spans="1:14" ht="25.75" x14ac:dyDescent="0.4">
      <c r="M85" s="7" t="s">
        <v>228</v>
      </c>
      <c r="N85" s="7" t="s">
        <v>206</v>
      </c>
    </row>
    <row r="86" spans="1:14" ht="25.75" x14ac:dyDescent="0.4">
      <c r="M86" s="7" t="s">
        <v>229</v>
      </c>
      <c r="N86" s="7" t="s">
        <v>209</v>
      </c>
    </row>
    <row r="87" spans="1:14" x14ac:dyDescent="0.4">
      <c r="M87" s="7" t="s">
        <v>230</v>
      </c>
      <c r="N87" s="7" t="s">
        <v>205</v>
      </c>
    </row>
    <row r="88" spans="1:14" x14ac:dyDescent="0.4">
      <c r="M88" s="7" t="s">
        <v>231</v>
      </c>
      <c r="N88" s="7" t="s">
        <v>208</v>
      </c>
    </row>
    <row r="89" spans="1:14" ht="25.75" x14ac:dyDescent="0.4">
      <c r="M89" s="7" t="s">
        <v>232</v>
      </c>
      <c r="N89" s="7" t="s">
        <v>210</v>
      </c>
    </row>
    <row r="90" spans="1:14" x14ac:dyDescent="0.4">
      <c r="M90" s="7" t="s">
        <v>233</v>
      </c>
      <c r="N90" s="7" t="s">
        <v>204</v>
      </c>
    </row>
    <row r="91" spans="1:14" x14ac:dyDescent="0.4">
      <c r="M91" s="7" t="s">
        <v>231</v>
      </c>
      <c r="N91" s="7" t="s">
        <v>211</v>
      </c>
    </row>
    <row r="92" spans="1:14" ht="25.75" x14ac:dyDescent="0.4">
      <c r="M92" s="7" t="s">
        <v>228</v>
      </c>
      <c r="N92" s="7" t="s">
        <v>212</v>
      </c>
    </row>
    <row r="93" spans="1:14" x14ac:dyDescent="0.4">
      <c r="M93" s="7" t="s">
        <v>230</v>
      </c>
      <c r="N93" s="7" t="s">
        <v>207</v>
      </c>
    </row>
    <row r="94" spans="1:14" ht="25.75" x14ac:dyDescent="0.4">
      <c r="M94" s="7" t="s">
        <v>229</v>
      </c>
      <c r="N94" s="7" t="s">
        <v>203</v>
      </c>
    </row>
    <row r="96" spans="1:14" x14ac:dyDescent="0.4">
      <c r="A96" s="7"/>
      <c r="B96" s="16"/>
    </row>
    <row r="97" spans="1:11" x14ac:dyDescent="0.4">
      <c r="A97" s="7" t="s">
        <v>202</v>
      </c>
      <c r="B97" s="7" t="s">
        <v>203</v>
      </c>
      <c r="C97" s="7" t="s">
        <v>204</v>
      </c>
      <c r="D97" s="7" t="s">
        <v>205</v>
      </c>
      <c r="E97" s="7" t="s">
        <v>206</v>
      </c>
      <c r="F97" s="7" t="s">
        <v>207</v>
      </c>
      <c r="H97" s="7" t="s">
        <v>209</v>
      </c>
      <c r="I97" s="7" t="s">
        <v>210</v>
      </c>
      <c r="J97" s="7" t="s">
        <v>211</v>
      </c>
      <c r="K97" s="7" t="s">
        <v>212</v>
      </c>
    </row>
    <row r="98" spans="1:11" ht="25.75" x14ac:dyDescent="0.4">
      <c r="A98" s="7" t="s">
        <v>213</v>
      </c>
      <c r="B98" s="7" t="s">
        <v>214</v>
      </c>
      <c r="C98" s="7" t="s">
        <v>215</v>
      </c>
      <c r="D98" s="7" t="s">
        <v>216</v>
      </c>
      <c r="E98" s="7" t="s">
        <v>217</v>
      </c>
      <c r="F98" s="7" t="s">
        <v>218</v>
      </c>
      <c r="G98" s="7" t="s">
        <v>208</v>
      </c>
      <c r="H98" s="7" t="s">
        <v>220</v>
      </c>
      <c r="I98" s="7" t="s">
        <v>221</v>
      </c>
      <c r="J98" s="7" t="s">
        <v>222</v>
      </c>
      <c r="K98" s="7" t="s">
        <v>223</v>
      </c>
    </row>
    <row r="99" spans="1:11" x14ac:dyDescent="0.4">
      <c r="A99" s="7" t="s">
        <v>128</v>
      </c>
      <c r="B99" s="7" t="s">
        <v>137</v>
      </c>
      <c r="C99" s="7" t="s">
        <v>142</v>
      </c>
      <c r="D99" s="7" t="s">
        <v>152</v>
      </c>
      <c r="E99" s="7" t="s">
        <v>146</v>
      </c>
      <c r="F99" s="7" t="s">
        <v>137</v>
      </c>
      <c r="G99" s="7" t="s">
        <v>219</v>
      </c>
      <c r="H99" s="7" t="s">
        <v>142</v>
      </c>
      <c r="I99" s="7" t="s">
        <v>146</v>
      </c>
      <c r="J99" s="7" t="s">
        <v>137</v>
      </c>
      <c r="K99" s="7" t="s">
        <v>156</v>
      </c>
    </row>
    <row r="100" spans="1:11" x14ac:dyDescent="0.4">
      <c r="A100" s="7" t="s">
        <v>132</v>
      </c>
      <c r="B100" s="7" t="s">
        <v>139</v>
      </c>
      <c r="C100" s="7" t="s">
        <v>144</v>
      </c>
      <c r="D100" s="7" t="s">
        <v>154</v>
      </c>
      <c r="E100" s="7" t="s">
        <v>139</v>
      </c>
      <c r="F100" s="7" t="s">
        <v>150</v>
      </c>
      <c r="G100" s="7" t="s">
        <v>152</v>
      </c>
      <c r="H100" s="7" t="s">
        <v>176</v>
      </c>
      <c r="I100" s="7" t="s">
        <v>144</v>
      </c>
      <c r="J100" s="7" t="s">
        <v>139</v>
      </c>
      <c r="K100" s="7" t="s">
        <v>224</v>
      </c>
    </row>
    <row r="101" spans="1:11" x14ac:dyDescent="0.4">
      <c r="A101" s="7" t="s">
        <v>130</v>
      </c>
      <c r="B101" s="6">
        <v>45000</v>
      </c>
      <c r="C101" s="6">
        <v>52000</v>
      </c>
      <c r="D101" s="6">
        <v>48000</v>
      </c>
      <c r="E101" s="6">
        <v>60000</v>
      </c>
      <c r="F101" s="6">
        <v>55000</v>
      </c>
      <c r="G101" s="7" t="s">
        <v>154</v>
      </c>
      <c r="H101" s="6">
        <v>50000</v>
      </c>
      <c r="I101" s="6">
        <v>58000</v>
      </c>
      <c r="J101" s="6">
        <v>62000</v>
      </c>
      <c r="K101" s="6">
        <v>51000</v>
      </c>
    </row>
    <row r="102" spans="1:11" x14ac:dyDescent="0.4">
      <c r="A102" s="7" t="s">
        <v>225</v>
      </c>
      <c r="B102" s="6">
        <v>2</v>
      </c>
      <c r="C102" s="6">
        <v>4</v>
      </c>
      <c r="D102" s="6">
        <v>3</v>
      </c>
      <c r="E102" s="6">
        <v>6</v>
      </c>
      <c r="F102" s="6">
        <v>5</v>
      </c>
      <c r="G102" s="6">
        <v>47000</v>
      </c>
      <c r="H102" s="6">
        <v>4</v>
      </c>
      <c r="I102" s="6">
        <v>7</v>
      </c>
      <c r="J102" s="6">
        <v>8</v>
      </c>
      <c r="K102" s="6">
        <v>4</v>
      </c>
    </row>
    <row r="103" spans="1:11" x14ac:dyDescent="0.4">
      <c r="A103" s="7" t="s">
        <v>126</v>
      </c>
      <c r="B103" s="6">
        <v>25</v>
      </c>
      <c r="C103" s="6">
        <v>29</v>
      </c>
      <c r="D103" s="6">
        <v>27</v>
      </c>
      <c r="E103" s="6">
        <v>32</v>
      </c>
      <c r="F103" s="6">
        <v>30</v>
      </c>
      <c r="G103" s="6">
        <v>3</v>
      </c>
      <c r="H103" s="6">
        <v>28</v>
      </c>
      <c r="I103" s="6">
        <v>35</v>
      </c>
      <c r="J103" s="6">
        <v>36</v>
      </c>
      <c r="K103" s="6">
        <v>29</v>
      </c>
    </row>
    <row r="104" spans="1:11" x14ac:dyDescent="0.4">
      <c r="G104" s="6">
        <v>26</v>
      </c>
    </row>
    <row r="107" spans="1:11" x14ac:dyDescent="0.4">
      <c r="C107" s="17" t="s">
        <v>235</v>
      </c>
    </row>
    <row r="108" spans="1:11" x14ac:dyDescent="0.4">
      <c r="C108" t="s">
        <v>236</v>
      </c>
    </row>
    <row r="109" spans="1:11" x14ac:dyDescent="0.4">
      <c r="C109">
        <f>HLOOKUP(B97,A97:K103,5,FALSE)</f>
        <v>45000</v>
      </c>
    </row>
    <row r="112" spans="1:11" x14ac:dyDescent="0.4">
      <c r="F112" s="7"/>
      <c r="H112" s="7"/>
    </row>
    <row r="113" spans="6:8" x14ac:dyDescent="0.4">
      <c r="F113" s="11" t="s">
        <v>226</v>
      </c>
      <c r="G113" s="7"/>
      <c r="H113" s="7"/>
    </row>
    <row r="114" spans="6:8" x14ac:dyDescent="0.4">
      <c r="F114" s="11" t="s">
        <v>228</v>
      </c>
      <c r="G114" s="16" t="s">
        <v>227</v>
      </c>
      <c r="H114" s="7" t="str">
        <f>HLOOKUP(G115,A97:K103,2,FALSE)</f>
        <v>Priya</v>
      </c>
    </row>
    <row r="115" spans="6:8" x14ac:dyDescent="0.4">
      <c r="F115" s="11" t="s">
        <v>229</v>
      </c>
      <c r="G115" s="11" t="s">
        <v>206</v>
      </c>
      <c r="H115" s="7" t="str">
        <f>HLOOKUP(G116,B97:K103,3,FALSE)</f>
        <v>HR</v>
      </c>
    </row>
    <row r="116" spans="6:8" x14ac:dyDescent="0.4">
      <c r="F116" s="11" t="s">
        <v>230</v>
      </c>
      <c r="G116" s="11" t="s">
        <v>209</v>
      </c>
      <c r="H116" s="7" t="str">
        <f>HLOOKUP(G117,A97:K103,4,FALSE)</f>
        <v>Pune</v>
      </c>
    </row>
    <row r="117" spans="6:8" x14ac:dyDescent="0.4">
      <c r="F117" s="11" t="s">
        <v>231</v>
      </c>
      <c r="G117" s="11" t="s">
        <v>205</v>
      </c>
      <c r="H117" s="7" t="e">
        <f>HLOOKUP(G118,A97:K103,5,FALSE)</f>
        <v>#N/A</v>
      </c>
    </row>
    <row r="118" spans="6:8" x14ac:dyDescent="0.4">
      <c r="F118" s="11" t="s">
        <v>232</v>
      </c>
      <c r="G118" s="11" t="s">
        <v>208</v>
      </c>
      <c r="H118" s="7">
        <f>HLOOKUP(G119,A97:K103,6,FALSE)</f>
        <v>7</v>
      </c>
    </row>
    <row r="119" spans="6:8" x14ac:dyDescent="0.4">
      <c r="F119" s="11" t="s">
        <v>233</v>
      </c>
      <c r="G119" s="11" t="s">
        <v>210</v>
      </c>
      <c r="H119" s="7">
        <f>HLOOKUP(G120,A97:K103,7,FALSE)</f>
        <v>29</v>
      </c>
    </row>
    <row r="120" spans="6:8" x14ac:dyDescent="0.4">
      <c r="F120" s="11" t="s">
        <v>231</v>
      </c>
      <c r="G120" s="11" t="s">
        <v>204</v>
      </c>
      <c r="H120" s="7">
        <f>HLOOKUP(G121,A97:K103,5,FALSE)</f>
        <v>62000</v>
      </c>
    </row>
    <row r="121" spans="6:8" x14ac:dyDescent="0.4">
      <c r="F121" s="11" t="s">
        <v>228</v>
      </c>
      <c r="G121" s="11" t="s">
        <v>211</v>
      </c>
      <c r="H121" s="7" t="str">
        <f>HLOOKUP(G122,A97:K103,2,FALSE)</f>
        <v>Pooja</v>
      </c>
    </row>
    <row r="122" spans="6:8" x14ac:dyDescent="0.4">
      <c r="F122" s="11" t="s">
        <v>230</v>
      </c>
      <c r="G122" s="11" t="s">
        <v>212</v>
      </c>
      <c r="H122" s="7" t="str">
        <f>HLOOKUP(G123,A97:K103,4,FALSE)</f>
        <v>Bangalore</v>
      </c>
    </row>
    <row r="123" spans="6:8" x14ac:dyDescent="0.4">
      <c r="F123" s="11" t="s">
        <v>229</v>
      </c>
      <c r="G123" s="11" t="s">
        <v>207</v>
      </c>
      <c r="H123" s="7" t="str">
        <f>HLOOKUP(G124,A97:K103,3,FALSE)</f>
        <v>IT</v>
      </c>
    </row>
    <row r="124" spans="6:8" x14ac:dyDescent="0.4">
      <c r="G124" s="11" t="s">
        <v>203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0CD90-1D80-4791-9D4B-9E5EC2D39211}">
  <dimension ref="A1:O20"/>
  <sheetViews>
    <sheetView workbookViewId="0">
      <selection activeCell="O11" sqref="O11:O12"/>
    </sheetView>
  </sheetViews>
  <sheetFormatPr defaultRowHeight="14.6" x14ac:dyDescent="0.4"/>
  <cols>
    <col min="15" max="15" width="27.07421875" customWidth="1"/>
  </cols>
  <sheetData>
    <row r="1" spans="1:15" x14ac:dyDescent="0.4">
      <c r="A1" s="7"/>
      <c r="B1" s="7"/>
      <c r="C1" s="7"/>
      <c r="D1" s="7"/>
      <c r="E1" s="7"/>
      <c r="F1" s="7"/>
      <c r="G1" s="7"/>
      <c r="H1" s="7"/>
      <c r="I1" s="7"/>
      <c r="J1" s="7"/>
      <c r="K1" s="7"/>
      <c r="L1" s="7"/>
      <c r="M1" s="7"/>
      <c r="N1" s="7"/>
      <c r="O1" s="7"/>
    </row>
    <row r="2" spans="1:15" ht="29.15" x14ac:dyDescent="0.4">
      <c r="A2" s="7"/>
      <c r="B2" s="19" t="s">
        <v>2</v>
      </c>
      <c r="C2" s="19" t="s">
        <v>126</v>
      </c>
      <c r="D2" s="19" t="s">
        <v>127</v>
      </c>
      <c r="E2" s="19" t="s">
        <v>252</v>
      </c>
      <c r="F2" s="19" t="s">
        <v>130</v>
      </c>
      <c r="G2" s="19" t="s">
        <v>253</v>
      </c>
      <c r="H2" s="7"/>
      <c r="I2" s="19" t="s">
        <v>254</v>
      </c>
      <c r="J2" s="19" t="s">
        <v>252</v>
      </c>
      <c r="K2" s="19" t="s">
        <v>2</v>
      </c>
      <c r="L2" s="19" t="s">
        <v>127</v>
      </c>
      <c r="M2" s="19" t="s">
        <v>130</v>
      </c>
      <c r="N2" s="19" t="s">
        <v>253</v>
      </c>
      <c r="O2" s="19" t="s">
        <v>126</v>
      </c>
    </row>
    <row r="3" spans="1:15" x14ac:dyDescent="0.4">
      <c r="A3" s="7"/>
      <c r="B3" s="20" t="s">
        <v>255</v>
      </c>
      <c r="C3" s="21">
        <v>30</v>
      </c>
      <c r="D3" s="20" t="s">
        <v>256</v>
      </c>
      <c r="E3" s="20" t="s">
        <v>257</v>
      </c>
      <c r="F3" s="21">
        <v>45000</v>
      </c>
      <c r="G3" s="20" t="s">
        <v>137</v>
      </c>
      <c r="H3" s="7"/>
      <c r="I3" s="7"/>
      <c r="J3" s="20" t="s">
        <v>258</v>
      </c>
      <c r="K3" s="7" t="str">
        <f>INDEX(B2:B20,MATCH(J3,E2:E20,FALSE))</f>
        <v>Kanchan</v>
      </c>
      <c r="L3" s="7" t="str">
        <f>INDEX(D2:D20,MATCH(J3,E2:E20,FALSE))</f>
        <v>F</v>
      </c>
      <c r="M3" s="7">
        <f>INDEX(F2:F20,MATCH(J3,E2:E20,FALSE))</f>
        <v>28000</v>
      </c>
      <c r="N3" s="7" t="str">
        <f>INDEX(G2:G20,MATCH(J3,E2:E20,FALSE))</f>
        <v>HR</v>
      </c>
      <c r="O3" s="22">
        <f>INDEX($C$2:$C$20,MATCH(J3,$E$2:$E$20,FALSE))</f>
        <v>27</v>
      </c>
    </row>
    <row r="4" spans="1:15" x14ac:dyDescent="0.4">
      <c r="A4" s="7"/>
      <c r="B4" s="20" t="s">
        <v>259</v>
      </c>
      <c r="C4" s="21">
        <v>28</v>
      </c>
      <c r="D4" s="20" t="s">
        <v>256</v>
      </c>
      <c r="E4" s="20" t="s">
        <v>260</v>
      </c>
      <c r="F4" s="21">
        <v>38000</v>
      </c>
      <c r="G4" s="20" t="s">
        <v>152</v>
      </c>
      <c r="H4" s="7"/>
      <c r="I4" s="7"/>
      <c r="J4" s="20" t="s">
        <v>261</v>
      </c>
      <c r="K4" s="7" t="str">
        <f>INDEX(B2:B20,MATCH(J4,E2:E20,FALSE))</f>
        <v>Hitesh</v>
      </c>
      <c r="L4" s="7" t="str">
        <f>INDEX(D2:D20,MATCH(J4,E2:E20,FALSE))</f>
        <v>M</v>
      </c>
      <c r="M4" s="7">
        <f>INDEX(F2:F20,MATCH(J4,E2:E20,FALSE))</f>
        <v>41500</v>
      </c>
      <c r="N4" s="7" t="str">
        <f>INDEX(G2:G20,MATCH(J4,E2:E20,FALSE))</f>
        <v>Logistics</v>
      </c>
      <c r="O4" s="22">
        <f>INDEX($C$2:$C$20,MATCH(J4,$E$2:$E$20,FALSE))</f>
        <v>25</v>
      </c>
    </row>
    <row r="5" spans="1:15" x14ac:dyDescent="0.4">
      <c r="A5" s="7"/>
      <c r="B5" s="20" t="s">
        <v>262</v>
      </c>
      <c r="C5" s="21">
        <v>27</v>
      </c>
      <c r="D5" s="20" t="s">
        <v>256</v>
      </c>
      <c r="E5" s="20" t="s">
        <v>263</v>
      </c>
      <c r="F5" s="21">
        <v>34500</v>
      </c>
      <c r="G5" s="20" t="s">
        <v>152</v>
      </c>
      <c r="H5" s="7"/>
      <c r="I5" s="7"/>
      <c r="J5" s="20" t="s">
        <v>294</v>
      </c>
      <c r="K5" s="7" t="str">
        <f>INDEX(B2:B20,MATCH(J5,E2:E20,FALSE))</f>
        <v>Kartik</v>
      </c>
      <c r="L5" s="7" t="str">
        <f>INDEX(D2:D20,MATCH(J5,E2:E20,FALSE))</f>
        <v>M</v>
      </c>
      <c r="M5" s="7">
        <f>INDEX(F2:F20,MATCH(J5,E2:E20,FALSE))</f>
        <v>50000</v>
      </c>
      <c r="N5" s="7" t="str">
        <f>INDEX(G2:G20,MATCH(J5,E2:E20,FALSE))</f>
        <v>Sales</v>
      </c>
      <c r="O5" s="22">
        <f>INDEX($C$2:$C$20,MATCH(J5,$E$2:$E$20,FALSE))</f>
        <v>28</v>
      </c>
    </row>
    <row r="6" spans="1:15" x14ac:dyDescent="0.4">
      <c r="A6" s="7"/>
      <c r="B6" s="20" t="s">
        <v>264</v>
      </c>
      <c r="C6" s="21">
        <v>27</v>
      </c>
      <c r="D6" s="20" t="s">
        <v>265</v>
      </c>
      <c r="E6" s="20" t="s">
        <v>258</v>
      </c>
      <c r="F6" s="21">
        <v>28000</v>
      </c>
      <c r="G6" s="20" t="s">
        <v>142</v>
      </c>
      <c r="H6" s="7"/>
      <c r="I6" s="7"/>
      <c r="J6" s="7"/>
      <c r="K6" s="7"/>
      <c r="L6" s="7"/>
      <c r="M6" s="7"/>
      <c r="N6" s="7"/>
      <c r="O6" s="7"/>
    </row>
    <row r="7" spans="1:15" x14ac:dyDescent="0.4">
      <c r="A7" s="7"/>
      <c r="B7" s="20" t="s">
        <v>266</v>
      </c>
      <c r="C7" s="21">
        <v>28</v>
      </c>
      <c r="D7" s="20" t="s">
        <v>256</v>
      </c>
      <c r="E7" s="20" t="s">
        <v>267</v>
      </c>
      <c r="F7" s="21">
        <v>42500</v>
      </c>
      <c r="G7" s="20" t="s">
        <v>268</v>
      </c>
      <c r="H7" s="7"/>
      <c r="I7" s="7"/>
      <c r="J7" s="7"/>
      <c r="K7" s="7"/>
      <c r="L7" s="7"/>
      <c r="M7" s="7"/>
      <c r="N7" s="7"/>
      <c r="O7" s="7"/>
    </row>
    <row r="8" spans="1:15" x14ac:dyDescent="0.4">
      <c r="A8" s="7"/>
      <c r="B8" s="20" t="s">
        <v>269</v>
      </c>
      <c r="C8" s="21">
        <v>27</v>
      </c>
      <c r="D8" s="20" t="s">
        <v>256</v>
      </c>
      <c r="E8" s="20" t="s">
        <v>270</v>
      </c>
      <c r="F8" s="21">
        <v>30000</v>
      </c>
      <c r="G8" s="20" t="s">
        <v>142</v>
      </c>
      <c r="H8" s="7"/>
      <c r="I8" s="7"/>
      <c r="J8" s="7"/>
      <c r="K8" s="7"/>
      <c r="L8" s="7"/>
      <c r="M8" s="7"/>
      <c r="N8" s="7"/>
      <c r="O8" s="7"/>
    </row>
    <row r="9" spans="1:15" x14ac:dyDescent="0.4">
      <c r="A9" s="7"/>
      <c r="B9" s="20" t="s">
        <v>271</v>
      </c>
      <c r="C9" s="21">
        <v>23</v>
      </c>
      <c r="D9" s="20" t="s">
        <v>265</v>
      </c>
      <c r="E9" s="20" t="s">
        <v>272</v>
      </c>
      <c r="F9" s="21">
        <v>25000</v>
      </c>
      <c r="G9" s="20" t="s">
        <v>268</v>
      </c>
      <c r="H9" s="7"/>
      <c r="I9" s="7"/>
      <c r="J9" s="7"/>
      <c r="K9" s="7"/>
      <c r="L9" s="7"/>
      <c r="M9" s="7"/>
      <c r="N9" s="7"/>
      <c r="O9" s="7"/>
    </row>
    <row r="10" spans="1:15" x14ac:dyDescent="0.4">
      <c r="A10" s="7"/>
      <c r="B10" s="20" t="s">
        <v>273</v>
      </c>
      <c r="C10" s="21">
        <v>31</v>
      </c>
      <c r="D10" s="20" t="s">
        <v>256</v>
      </c>
      <c r="E10" s="20" t="s">
        <v>274</v>
      </c>
      <c r="F10" s="21">
        <v>34000</v>
      </c>
      <c r="G10" s="20" t="s">
        <v>137</v>
      </c>
      <c r="H10" s="7"/>
      <c r="I10" s="19" t="s">
        <v>124</v>
      </c>
      <c r="J10" s="19" t="s">
        <v>252</v>
      </c>
      <c r="K10" s="19" t="s">
        <v>2</v>
      </c>
      <c r="L10" s="19" t="s">
        <v>126</v>
      </c>
      <c r="M10" s="19" t="s">
        <v>127</v>
      </c>
      <c r="N10" s="19" t="s">
        <v>130</v>
      </c>
      <c r="O10" s="19" t="s">
        <v>253</v>
      </c>
    </row>
    <row r="11" spans="1:15" x14ac:dyDescent="0.4">
      <c r="A11" s="7"/>
      <c r="B11" s="20" t="s">
        <v>275</v>
      </c>
      <c r="C11" s="21">
        <v>32</v>
      </c>
      <c r="D11" s="20" t="s">
        <v>256</v>
      </c>
      <c r="E11" s="20" t="s">
        <v>276</v>
      </c>
      <c r="F11" s="21">
        <v>35000</v>
      </c>
      <c r="G11" s="20" t="s">
        <v>137</v>
      </c>
      <c r="H11" s="7"/>
      <c r="I11" s="7"/>
      <c r="J11" s="20" t="s">
        <v>277</v>
      </c>
      <c r="K11" s="7" t="str">
        <f>_xlfn.XLOOKUP(J11,E2:E20,B2:B20,FALSE)</f>
        <v>Jyotsana</v>
      </c>
      <c r="L11" s="7">
        <f>_xlfn.XLOOKUP(J11,E2:E20,C2:C20,FALSE)</f>
        <v>27</v>
      </c>
      <c r="M11" s="7" t="str">
        <f>_xlfn.XLOOKUP(J11,E2:E20,D2:D20,FALSE)</f>
        <v>F</v>
      </c>
      <c r="N11" s="7">
        <f>_xlfn.XLOOKUP(J11,E2:E20,F2:F20,FALSE)</f>
        <v>42500</v>
      </c>
      <c r="O11" s="22" t="str">
        <f>_xlfn.XLOOKUP(J11,$E$2:$E$20,$G$2:$G$20,FALSE)</f>
        <v>Sales</v>
      </c>
    </row>
    <row r="12" spans="1:15" x14ac:dyDescent="0.4">
      <c r="A12" s="7"/>
      <c r="B12" s="20" t="s">
        <v>278</v>
      </c>
      <c r="C12" s="21">
        <v>28</v>
      </c>
      <c r="D12" s="20" t="s">
        <v>256</v>
      </c>
      <c r="E12" s="20" t="s">
        <v>279</v>
      </c>
      <c r="F12" s="21">
        <v>47000</v>
      </c>
      <c r="G12" s="20" t="s">
        <v>152</v>
      </c>
      <c r="H12" s="7"/>
      <c r="I12" s="7"/>
      <c r="J12" s="20" t="s">
        <v>272</v>
      </c>
      <c r="K12" s="7" t="str">
        <f>_xlfn.XLOOKUP(J12,E2:E20,B2:B20,FALSE)</f>
        <v>Niharika</v>
      </c>
      <c r="L12" s="7">
        <f>_xlfn.XLOOKUP(J12,E2:E20,C2:C20,FALSE)</f>
        <v>23</v>
      </c>
      <c r="M12" s="7" t="str">
        <f>_xlfn.XLOOKUP(J12,E2:E20,D2:D20,FALSE)</f>
        <v>F</v>
      </c>
      <c r="N12" s="7">
        <f>_xlfn.XLOOKUP(J12,E2:E20,F2:F20,FALSE)</f>
        <v>25000</v>
      </c>
      <c r="O12" s="22" t="str">
        <f>_xlfn.XLOOKUP(J12,$E$2:$E$20,$G$2:$G$20,FALSE)</f>
        <v>Admin</v>
      </c>
    </row>
    <row r="13" spans="1:15" x14ac:dyDescent="0.4">
      <c r="A13" s="7"/>
      <c r="B13" s="20" t="s">
        <v>280</v>
      </c>
      <c r="C13" s="21">
        <v>27</v>
      </c>
      <c r="D13" s="20" t="s">
        <v>256</v>
      </c>
      <c r="E13" s="20" t="s">
        <v>281</v>
      </c>
      <c r="F13" s="21">
        <v>53000</v>
      </c>
      <c r="G13" s="20" t="s">
        <v>137</v>
      </c>
      <c r="H13" s="7"/>
      <c r="I13" s="7"/>
      <c r="J13" s="7"/>
      <c r="K13" s="7"/>
      <c r="L13" s="7"/>
      <c r="M13" s="7"/>
      <c r="N13" s="7"/>
      <c r="O13" s="7"/>
    </row>
    <row r="14" spans="1:15" x14ac:dyDescent="0.4">
      <c r="A14" s="7"/>
      <c r="B14" s="20" t="s">
        <v>282</v>
      </c>
      <c r="C14" s="21">
        <v>26</v>
      </c>
      <c r="D14" s="20" t="s">
        <v>256</v>
      </c>
      <c r="E14" s="20" t="s">
        <v>283</v>
      </c>
      <c r="F14" s="21">
        <v>37500</v>
      </c>
      <c r="G14" s="20" t="s">
        <v>284</v>
      </c>
      <c r="H14" s="7"/>
      <c r="I14" s="7"/>
      <c r="J14" s="7"/>
      <c r="K14" s="7"/>
      <c r="L14" s="7"/>
      <c r="M14" s="7"/>
      <c r="N14" s="7"/>
      <c r="O14" s="7"/>
    </row>
    <row r="15" spans="1:15" x14ac:dyDescent="0.4">
      <c r="A15" s="7"/>
      <c r="B15" s="20" t="s">
        <v>285</v>
      </c>
      <c r="C15" s="21">
        <v>29</v>
      </c>
      <c r="D15" s="20" t="s">
        <v>265</v>
      </c>
      <c r="E15" s="20" t="s">
        <v>286</v>
      </c>
      <c r="F15" s="21">
        <v>40000</v>
      </c>
      <c r="G15" s="20" t="s">
        <v>284</v>
      </c>
      <c r="H15" s="7"/>
      <c r="I15" s="7"/>
      <c r="J15" s="7"/>
      <c r="K15" s="7"/>
      <c r="L15" s="7"/>
      <c r="M15" s="7"/>
      <c r="N15" s="7"/>
      <c r="O15" s="7"/>
    </row>
    <row r="16" spans="1:15" x14ac:dyDescent="0.4">
      <c r="A16" s="7"/>
      <c r="B16" s="20" t="s">
        <v>287</v>
      </c>
      <c r="C16" s="21">
        <v>27</v>
      </c>
      <c r="D16" s="20" t="s">
        <v>265</v>
      </c>
      <c r="E16" s="20" t="s">
        <v>277</v>
      </c>
      <c r="F16" s="21">
        <v>42500</v>
      </c>
      <c r="G16" s="20" t="s">
        <v>152</v>
      </c>
      <c r="H16" s="7"/>
      <c r="I16" s="7"/>
      <c r="J16" s="7"/>
      <c r="K16" s="7"/>
      <c r="L16" s="7"/>
      <c r="M16" s="7"/>
      <c r="N16" s="7"/>
      <c r="O16" s="7"/>
    </row>
    <row r="17" spans="1:15" x14ac:dyDescent="0.4">
      <c r="A17" s="7"/>
      <c r="B17" s="20" t="s">
        <v>288</v>
      </c>
      <c r="C17" s="21">
        <v>28</v>
      </c>
      <c r="D17" s="20" t="s">
        <v>256</v>
      </c>
      <c r="E17" s="20" t="s">
        <v>289</v>
      </c>
      <c r="F17" s="21">
        <v>34500</v>
      </c>
      <c r="G17" s="20" t="s">
        <v>284</v>
      </c>
      <c r="H17" s="7"/>
      <c r="I17" s="7"/>
      <c r="J17" s="7"/>
      <c r="K17" s="7"/>
      <c r="L17" s="7"/>
      <c r="M17" s="7"/>
      <c r="N17" s="7"/>
      <c r="O17" s="7"/>
    </row>
    <row r="18" spans="1:15" x14ac:dyDescent="0.4">
      <c r="A18" s="7"/>
      <c r="B18" s="20" t="s">
        <v>290</v>
      </c>
      <c r="C18" s="21">
        <v>25</v>
      </c>
      <c r="D18" s="20" t="s">
        <v>256</v>
      </c>
      <c r="E18" s="20" t="s">
        <v>261</v>
      </c>
      <c r="F18" s="21">
        <v>41500</v>
      </c>
      <c r="G18" s="20" t="s">
        <v>284</v>
      </c>
      <c r="H18" s="7"/>
      <c r="I18" s="7"/>
      <c r="J18" s="7"/>
      <c r="K18" s="7"/>
      <c r="L18" s="7"/>
      <c r="M18" s="7"/>
      <c r="N18" s="7"/>
      <c r="O18" s="7"/>
    </row>
    <row r="19" spans="1:15" x14ac:dyDescent="0.4">
      <c r="A19" s="7"/>
      <c r="B19" s="20" t="s">
        <v>291</v>
      </c>
      <c r="C19" s="21">
        <v>26</v>
      </c>
      <c r="D19" s="20" t="s">
        <v>265</v>
      </c>
      <c r="E19" s="20" t="s">
        <v>292</v>
      </c>
      <c r="F19" s="21">
        <v>52500</v>
      </c>
      <c r="G19" s="20" t="s">
        <v>137</v>
      </c>
      <c r="H19" s="7"/>
      <c r="I19" s="7"/>
      <c r="J19" s="7"/>
      <c r="K19" s="7"/>
      <c r="L19" s="7"/>
      <c r="M19" s="7"/>
      <c r="N19" s="7"/>
      <c r="O19" s="7"/>
    </row>
    <row r="20" spans="1:15" x14ac:dyDescent="0.4">
      <c r="A20" s="7"/>
      <c r="B20" s="20" t="s">
        <v>293</v>
      </c>
      <c r="C20" s="21">
        <v>28</v>
      </c>
      <c r="D20" s="20" t="s">
        <v>256</v>
      </c>
      <c r="E20" s="20" t="s">
        <v>294</v>
      </c>
      <c r="F20" s="21">
        <v>50000</v>
      </c>
      <c r="G20" s="20" t="s">
        <v>152</v>
      </c>
      <c r="H20" s="7"/>
      <c r="I20" s="7"/>
      <c r="J20" s="7"/>
      <c r="K20" s="7"/>
      <c r="L20" s="7"/>
      <c r="M20" s="7"/>
      <c r="N20" s="7"/>
      <c r="O20" s="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7E491-1316-409B-8542-39DAAE281ED0}">
  <dimension ref="A1:T149"/>
  <sheetViews>
    <sheetView topLeftCell="I90" workbookViewId="0">
      <selection activeCell="S100" sqref="S100"/>
    </sheetView>
  </sheetViews>
  <sheetFormatPr defaultRowHeight="14.6" x14ac:dyDescent="0.4"/>
  <cols>
    <col min="1" max="1" width="21.23046875" bestFit="1" customWidth="1"/>
    <col min="2" max="2" width="14.23046875" bestFit="1" customWidth="1"/>
    <col min="3" max="3" width="23.61328125" bestFit="1" customWidth="1"/>
    <col min="4" max="4" width="11.3046875" bestFit="1" customWidth="1"/>
    <col min="5" max="5" width="31" bestFit="1" customWidth="1"/>
    <col min="6" max="6" width="15.07421875" bestFit="1" customWidth="1"/>
    <col min="7" max="7" width="14.84375" bestFit="1" customWidth="1"/>
    <col min="8" max="8" width="5.84375" bestFit="1" customWidth="1"/>
    <col min="9" max="9" width="34.07421875" bestFit="1" customWidth="1"/>
    <col min="10" max="10" width="14.07421875" bestFit="1" customWidth="1"/>
    <col min="11" max="11" width="13.07421875" bestFit="1" customWidth="1"/>
    <col min="12" max="12" width="11.61328125" bestFit="1" customWidth="1"/>
    <col min="13" max="13" width="11.3046875" bestFit="1" customWidth="1"/>
    <col min="14" max="14" width="11.4609375" bestFit="1" customWidth="1"/>
    <col min="15" max="15" width="10.69140625" bestFit="1" customWidth="1"/>
    <col min="18" max="18" width="12.23046875" customWidth="1"/>
    <col min="19" max="19" width="15" customWidth="1"/>
    <col min="20" max="20" width="12.07421875" customWidth="1"/>
  </cols>
  <sheetData>
    <row r="1" spans="1:12" x14ac:dyDescent="0.4">
      <c r="A1" s="17">
        <v>70000</v>
      </c>
      <c r="B1" s="17" t="str">
        <f>IF(A1&lt;=30000,"Basic",IF(A1&lt;=60000,"Silver","Gold"))</f>
        <v>Gold</v>
      </c>
      <c r="C1" s="17" t="s">
        <v>466</v>
      </c>
    </row>
    <row r="3" spans="1:12" x14ac:dyDescent="0.4">
      <c r="A3" s="24" t="s">
        <v>2</v>
      </c>
      <c r="B3" s="24" t="s">
        <v>127</v>
      </c>
      <c r="C3" s="24" t="s">
        <v>128</v>
      </c>
      <c r="D3" s="25" t="s">
        <v>130</v>
      </c>
      <c r="E3" s="24" t="s">
        <v>295</v>
      </c>
      <c r="F3" s="24" t="s">
        <v>296</v>
      </c>
      <c r="I3" s="11" t="s">
        <v>467</v>
      </c>
    </row>
    <row r="4" spans="1:12" x14ac:dyDescent="0.4">
      <c r="A4" s="26" t="s">
        <v>297</v>
      </c>
      <c r="B4" s="26" t="s">
        <v>136</v>
      </c>
      <c r="C4" s="26" t="s">
        <v>298</v>
      </c>
      <c r="D4" s="27" t="s">
        <v>299</v>
      </c>
      <c r="E4" s="26" t="s">
        <v>300</v>
      </c>
      <c r="F4" s="28">
        <v>43894</v>
      </c>
      <c r="I4">
        <f>COUNTIF(B3:B94,"=Male")</f>
        <v>48</v>
      </c>
    </row>
    <row r="5" spans="1:12" x14ac:dyDescent="0.4">
      <c r="A5" s="26" t="s">
        <v>301</v>
      </c>
      <c r="B5" s="26" t="s">
        <v>141</v>
      </c>
      <c r="C5" s="26" t="s">
        <v>302</v>
      </c>
      <c r="D5" s="27" t="s">
        <v>303</v>
      </c>
      <c r="E5" s="26" t="s">
        <v>300</v>
      </c>
      <c r="F5" s="28">
        <v>43609</v>
      </c>
      <c r="I5" s="11" t="s">
        <v>468</v>
      </c>
    </row>
    <row r="6" spans="1:12" x14ac:dyDescent="0.4">
      <c r="A6" s="26" t="s">
        <v>304</v>
      </c>
      <c r="B6" s="26" t="s">
        <v>136</v>
      </c>
      <c r="C6" s="26" t="s">
        <v>305</v>
      </c>
      <c r="D6" s="11"/>
      <c r="E6" s="26" t="s">
        <v>300</v>
      </c>
      <c r="F6" s="28">
        <v>43588</v>
      </c>
      <c r="I6" t="str">
        <f>INDEX(C3:C94,MATCH("Ab Lehrian",A3:A94,FALSE))</f>
        <v>NULL</v>
      </c>
      <c r="J6" t="s">
        <v>469</v>
      </c>
    </row>
    <row r="7" spans="1:12" x14ac:dyDescent="0.4">
      <c r="A7" s="26" t="s">
        <v>306</v>
      </c>
      <c r="B7" s="26" t="s">
        <v>136</v>
      </c>
      <c r="C7" s="26" t="s">
        <v>307</v>
      </c>
      <c r="D7" s="27" t="s">
        <v>308</v>
      </c>
      <c r="E7" s="26" t="s">
        <v>309</v>
      </c>
      <c r="F7" s="28">
        <v>43696</v>
      </c>
      <c r="I7" t="str">
        <f>VLOOKUP("Ab Lehrian",A3:F94,3,FALSE)</f>
        <v>NULL</v>
      </c>
      <c r="J7" t="s">
        <v>470</v>
      </c>
    </row>
    <row r="8" spans="1:12" x14ac:dyDescent="0.4">
      <c r="A8" s="26" t="s">
        <v>306</v>
      </c>
      <c r="B8" s="26" t="s">
        <v>136</v>
      </c>
      <c r="C8" s="26" t="s">
        <v>307</v>
      </c>
      <c r="D8" s="27" t="s">
        <v>308</v>
      </c>
      <c r="E8" s="26" t="s">
        <v>300</v>
      </c>
      <c r="F8" s="28">
        <v>43972</v>
      </c>
    </row>
    <row r="9" spans="1:12" x14ac:dyDescent="0.4">
      <c r="A9" s="26" t="s">
        <v>310</v>
      </c>
      <c r="B9" s="26" t="s">
        <v>141</v>
      </c>
      <c r="C9" s="26" t="s">
        <v>311</v>
      </c>
      <c r="D9" s="27" t="s">
        <v>312</v>
      </c>
      <c r="E9" s="26" t="s">
        <v>300</v>
      </c>
      <c r="F9" s="28">
        <v>43673</v>
      </c>
      <c r="I9" s="11" t="s">
        <v>471</v>
      </c>
    </row>
    <row r="10" spans="1:12" x14ac:dyDescent="0.4">
      <c r="A10" s="26" t="s">
        <v>313</v>
      </c>
      <c r="B10" s="26" t="s">
        <v>141</v>
      </c>
      <c r="C10" s="26" t="s">
        <v>307</v>
      </c>
      <c r="D10" s="27" t="s">
        <v>314</v>
      </c>
      <c r="E10" s="26" t="s">
        <v>315</v>
      </c>
      <c r="F10" s="28">
        <v>43968</v>
      </c>
      <c r="I10">
        <f>MATCH("Training",C3:C94,FALSE)</f>
        <v>4</v>
      </c>
      <c r="J10" t="s">
        <v>472</v>
      </c>
    </row>
    <row r="11" spans="1:12" x14ac:dyDescent="0.4">
      <c r="A11" s="26" t="s">
        <v>316</v>
      </c>
      <c r="B11" s="26" t="s">
        <v>141</v>
      </c>
      <c r="C11" s="26" t="s">
        <v>317</v>
      </c>
      <c r="D11" s="27" t="s">
        <v>318</v>
      </c>
      <c r="E11" s="26" t="s">
        <v>300</v>
      </c>
      <c r="F11" s="28">
        <v>44023</v>
      </c>
    </row>
    <row r="12" spans="1:12" x14ac:dyDescent="0.4">
      <c r="A12" s="26" t="s">
        <v>316</v>
      </c>
      <c r="B12" s="26" t="s">
        <v>141</v>
      </c>
      <c r="C12" s="26" t="s">
        <v>317</v>
      </c>
      <c r="D12" s="27" t="s">
        <v>318</v>
      </c>
      <c r="E12" s="26" t="s">
        <v>309</v>
      </c>
      <c r="F12" s="28">
        <v>44029</v>
      </c>
      <c r="I12" s="11" t="s">
        <v>473</v>
      </c>
    </row>
    <row r="13" spans="1:12" x14ac:dyDescent="0.4">
      <c r="A13" s="26" t="s">
        <v>319</v>
      </c>
      <c r="B13" s="26" t="s">
        <v>136</v>
      </c>
      <c r="C13" s="26" t="s">
        <v>311</v>
      </c>
      <c r="D13" s="27" t="s">
        <v>320</v>
      </c>
      <c r="E13" s="26" t="s">
        <v>309</v>
      </c>
      <c r="F13" s="28">
        <v>43666</v>
      </c>
      <c r="I13" t="str">
        <f>INDEX(C3:C94,7)</f>
        <v>Research and Development</v>
      </c>
      <c r="L13" t="s">
        <v>474</v>
      </c>
    </row>
    <row r="14" spans="1:12" x14ac:dyDescent="0.4">
      <c r="A14" s="26" t="s">
        <v>321</v>
      </c>
      <c r="B14" s="26" t="s">
        <v>136</v>
      </c>
      <c r="C14" s="26" t="s">
        <v>317</v>
      </c>
      <c r="D14" s="27" t="s">
        <v>322</v>
      </c>
      <c r="E14" s="26" t="s">
        <v>300</v>
      </c>
      <c r="F14" s="28">
        <v>43922</v>
      </c>
    </row>
    <row r="15" spans="1:12" x14ac:dyDescent="0.4">
      <c r="A15" s="26" t="s">
        <v>323</v>
      </c>
      <c r="B15" s="26" t="s">
        <v>136</v>
      </c>
      <c r="C15" s="26" t="s">
        <v>324</v>
      </c>
      <c r="D15" s="27" t="s">
        <v>325</v>
      </c>
      <c r="E15" s="26" t="s">
        <v>300</v>
      </c>
      <c r="F15" s="28">
        <v>43784</v>
      </c>
      <c r="I15" t="s">
        <v>475</v>
      </c>
    </row>
    <row r="16" spans="1:12" x14ac:dyDescent="0.4">
      <c r="A16" s="26" t="s">
        <v>326</v>
      </c>
      <c r="B16" s="26" t="s">
        <v>136</v>
      </c>
      <c r="C16" s="26" t="s">
        <v>324</v>
      </c>
      <c r="D16" s="27" t="s">
        <v>327</v>
      </c>
      <c r="E16" s="26" t="s">
        <v>315</v>
      </c>
      <c r="F16" s="28">
        <v>43800</v>
      </c>
      <c r="I16" s="29">
        <f>_xlfn.XLOOKUP(A4,A3:A94,F3:F94)</f>
        <v>43894</v>
      </c>
    </row>
    <row r="17" spans="1:9" x14ac:dyDescent="0.4">
      <c r="A17" s="26" t="s">
        <v>328</v>
      </c>
      <c r="B17" s="26" t="s">
        <v>141</v>
      </c>
      <c r="C17" s="26" t="s">
        <v>329</v>
      </c>
      <c r="D17" s="27" t="s">
        <v>330</v>
      </c>
      <c r="E17" s="26" t="s">
        <v>300</v>
      </c>
      <c r="F17" s="28">
        <v>43526</v>
      </c>
      <c r="I17" s="29">
        <f>INDEX(F3:F94,MATCH(A4,A3:A94,FALSE))</f>
        <v>43894</v>
      </c>
    </row>
    <row r="18" spans="1:9" x14ac:dyDescent="0.4">
      <c r="A18" s="26" t="s">
        <v>328</v>
      </c>
      <c r="B18" s="26" t="s">
        <v>141</v>
      </c>
      <c r="C18" s="26" t="s">
        <v>329</v>
      </c>
      <c r="D18" s="27" t="s">
        <v>330</v>
      </c>
      <c r="E18" s="26" t="s">
        <v>309</v>
      </c>
      <c r="F18" s="28">
        <v>43745</v>
      </c>
    </row>
    <row r="19" spans="1:9" x14ac:dyDescent="0.4">
      <c r="A19" s="26" t="s">
        <v>331</v>
      </c>
      <c r="B19" s="26" t="s">
        <v>141</v>
      </c>
      <c r="C19" s="26" t="s">
        <v>332</v>
      </c>
      <c r="D19" s="27" t="s">
        <v>333</v>
      </c>
      <c r="E19" s="26" t="s">
        <v>300</v>
      </c>
      <c r="F19" s="28">
        <v>43797</v>
      </c>
    </row>
    <row r="20" spans="1:9" x14ac:dyDescent="0.4">
      <c r="A20" s="26" t="s">
        <v>334</v>
      </c>
      <c r="B20" s="26" t="s">
        <v>141</v>
      </c>
      <c r="C20" s="26" t="s">
        <v>156</v>
      </c>
      <c r="D20" s="27" t="s">
        <v>335</v>
      </c>
      <c r="E20" s="26" t="s">
        <v>315</v>
      </c>
      <c r="F20" s="28">
        <v>43475</v>
      </c>
    </row>
    <row r="21" spans="1:9" x14ac:dyDescent="0.4">
      <c r="A21" s="26" t="s">
        <v>336</v>
      </c>
      <c r="B21" s="26" t="s">
        <v>136</v>
      </c>
      <c r="C21" s="26" t="s">
        <v>317</v>
      </c>
      <c r="D21" s="27" t="s">
        <v>337</v>
      </c>
      <c r="E21" s="26" t="s">
        <v>300</v>
      </c>
      <c r="F21" s="28">
        <v>43635</v>
      </c>
    </row>
    <row r="22" spans="1:9" x14ac:dyDescent="0.4">
      <c r="A22" s="26" t="s">
        <v>338</v>
      </c>
      <c r="B22" s="26" t="s">
        <v>136</v>
      </c>
      <c r="C22" s="26" t="s">
        <v>302</v>
      </c>
      <c r="D22" s="27" t="s">
        <v>339</v>
      </c>
      <c r="E22" s="26" t="s">
        <v>309</v>
      </c>
      <c r="F22" s="28">
        <v>43582</v>
      </c>
    </row>
    <row r="23" spans="1:9" x14ac:dyDescent="0.4">
      <c r="A23" s="26" t="s">
        <v>340</v>
      </c>
      <c r="B23" s="26" t="s">
        <v>136</v>
      </c>
      <c r="C23" s="26" t="s">
        <v>307</v>
      </c>
      <c r="D23" s="27" t="s">
        <v>341</v>
      </c>
      <c r="E23" s="26" t="s">
        <v>300</v>
      </c>
      <c r="F23" s="28">
        <v>43491</v>
      </c>
    </row>
    <row r="24" spans="1:9" x14ac:dyDescent="0.4">
      <c r="A24" s="26" t="s">
        <v>342</v>
      </c>
      <c r="B24" s="26" t="s">
        <v>136</v>
      </c>
      <c r="C24" s="26" t="s">
        <v>317</v>
      </c>
      <c r="D24" s="27" t="s">
        <v>343</v>
      </c>
      <c r="E24" s="26" t="s">
        <v>309</v>
      </c>
      <c r="F24" s="28">
        <v>43718</v>
      </c>
    </row>
    <row r="25" spans="1:9" x14ac:dyDescent="0.4">
      <c r="A25" s="26" t="s">
        <v>344</v>
      </c>
      <c r="B25" s="26" t="s">
        <v>136</v>
      </c>
      <c r="C25" s="26" t="s">
        <v>332</v>
      </c>
      <c r="D25" s="27" t="s">
        <v>345</v>
      </c>
      <c r="E25" s="26" t="s">
        <v>309</v>
      </c>
      <c r="F25" s="28">
        <v>43696</v>
      </c>
    </row>
    <row r="26" spans="1:9" x14ac:dyDescent="0.4">
      <c r="A26" s="26" t="s">
        <v>346</v>
      </c>
      <c r="B26" s="26" t="s">
        <v>141</v>
      </c>
      <c r="C26" s="26" t="s">
        <v>152</v>
      </c>
      <c r="D26" s="27" t="s">
        <v>347</v>
      </c>
      <c r="E26" s="26" t="s">
        <v>309</v>
      </c>
      <c r="F26" s="28">
        <v>43851</v>
      </c>
    </row>
    <row r="27" spans="1:9" x14ac:dyDescent="0.4">
      <c r="A27" s="26" t="s">
        <v>348</v>
      </c>
      <c r="B27" s="26" t="s">
        <v>136</v>
      </c>
      <c r="C27" s="26" t="s">
        <v>317</v>
      </c>
      <c r="D27" s="27" t="s">
        <v>349</v>
      </c>
      <c r="E27" s="26" t="s">
        <v>309</v>
      </c>
      <c r="F27" s="28">
        <v>43678</v>
      </c>
    </row>
    <row r="28" spans="1:9" x14ac:dyDescent="0.4">
      <c r="A28" s="26" t="s">
        <v>350</v>
      </c>
      <c r="B28" s="26" t="s">
        <v>141</v>
      </c>
      <c r="C28" s="26" t="s">
        <v>156</v>
      </c>
      <c r="D28" s="27" t="s">
        <v>351</v>
      </c>
      <c r="E28" s="26" t="s">
        <v>300</v>
      </c>
      <c r="F28" s="28">
        <v>43521</v>
      </c>
    </row>
    <row r="29" spans="1:9" x14ac:dyDescent="0.4">
      <c r="A29" s="26" t="s">
        <v>352</v>
      </c>
      <c r="B29" s="26" t="s">
        <v>136</v>
      </c>
      <c r="C29" s="26" t="s">
        <v>302</v>
      </c>
      <c r="D29" s="27" t="s">
        <v>353</v>
      </c>
      <c r="E29" s="26" t="s">
        <v>300</v>
      </c>
      <c r="F29" s="28">
        <v>43882</v>
      </c>
    </row>
    <row r="30" spans="1:9" x14ac:dyDescent="0.4">
      <c r="A30" s="26" t="s">
        <v>354</v>
      </c>
      <c r="B30" s="26" t="s">
        <v>141</v>
      </c>
      <c r="C30" s="26" t="s">
        <v>329</v>
      </c>
      <c r="D30" s="27" t="s">
        <v>355</v>
      </c>
      <c r="E30" s="26" t="s">
        <v>309</v>
      </c>
      <c r="F30" s="28">
        <v>43884</v>
      </c>
    </row>
    <row r="31" spans="1:9" x14ac:dyDescent="0.4">
      <c r="A31" s="26" t="s">
        <v>356</v>
      </c>
      <c r="B31" s="26" t="s">
        <v>136</v>
      </c>
      <c r="C31" s="26" t="s">
        <v>302</v>
      </c>
      <c r="D31" s="27" t="s">
        <v>357</v>
      </c>
      <c r="E31" s="26" t="s">
        <v>315</v>
      </c>
      <c r="F31" s="28">
        <v>43868</v>
      </c>
    </row>
    <row r="32" spans="1:9" x14ac:dyDescent="0.4">
      <c r="A32" s="26" t="s">
        <v>356</v>
      </c>
      <c r="B32" s="26" t="s">
        <v>136</v>
      </c>
      <c r="C32" s="26" t="s">
        <v>302</v>
      </c>
      <c r="D32" s="27" t="s">
        <v>357</v>
      </c>
      <c r="E32" s="26" t="s">
        <v>309</v>
      </c>
      <c r="F32" s="28">
        <v>44022</v>
      </c>
    </row>
    <row r="33" spans="1:6" x14ac:dyDescent="0.4">
      <c r="A33" s="26" t="s">
        <v>358</v>
      </c>
      <c r="B33" s="26" t="s">
        <v>136</v>
      </c>
      <c r="C33" s="26" t="s">
        <v>152</v>
      </c>
      <c r="D33" s="27" t="s">
        <v>359</v>
      </c>
      <c r="E33" s="26" t="s">
        <v>309</v>
      </c>
      <c r="F33" s="28">
        <v>43543</v>
      </c>
    </row>
    <row r="34" spans="1:6" x14ac:dyDescent="0.4">
      <c r="A34" s="26" t="s">
        <v>360</v>
      </c>
      <c r="B34" s="26" t="s">
        <v>141</v>
      </c>
      <c r="C34" s="26" t="s">
        <v>332</v>
      </c>
      <c r="D34" s="27" t="s">
        <v>361</v>
      </c>
      <c r="E34" s="26" t="s">
        <v>315</v>
      </c>
      <c r="F34" s="28">
        <v>43648</v>
      </c>
    </row>
    <row r="35" spans="1:6" x14ac:dyDescent="0.4">
      <c r="A35" s="26" t="s">
        <v>362</v>
      </c>
      <c r="B35" s="26" t="s">
        <v>141</v>
      </c>
      <c r="C35" s="26" t="s">
        <v>152</v>
      </c>
      <c r="D35" s="27" t="s">
        <v>363</v>
      </c>
      <c r="E35" s="26" t="s">
        <v>300</v>
      </c>
      <c r="F35" s="28">
        <v>43573</v>
      </c>
    </row>
    <row r="36" spans="1:6" x14ac:dyDescent="0.4">
      <c r="A36" s="26" t="s">
        <v>364</v>
      </c>
      <c r="B36" s="26" t="s">
        <v>136</v>
      </c>
      <c r="C36" s="26" t="s">
        <v>307</v>
      </c>
      <c r="D36" s="27" t="s">
        <v>365</v>
      </c>
      <c r="E36" s="26" t="s">
        <v>300</v>
      </c>
      <c r="F36" s="28">
        <v>43651</v>
      </c>
    </row>
    <row r="37" spans="1:6" x14ac:dyDescent="0.4">
      <c r="A37" s="26" t="s">
        <v>366</v>
      </c>
      <c r="B37" s="26" t="s">
        <v>141</v>
      </c>
      <c r="C37" s="26" t="s">
        <v>307</v>
      </c>
      <c r="D37" s="27" t="s">
        <v>367</v>
      </c>
      <c r="E37" s="26" t="s">
        <v>300</v>
      </c>
      <c r="F37" s="28">
        <v>43540</v>
      </c>
    </row>
    <row r="38" spans="1:6" x14ac:dyDescent="0.4">
      <c r="A38" s="26" t="s">
        <v>368</v>
      </c>
      <c r="B38" s="26" t="s">
        <v>141</v>
      </c>
      <c r="C38" s="26" t="s">
        <v>329</v>
      </c>
      <c r="D38" s="27" t="s">
        <v>369</v>
      </c>
      <c r="E38" s="26" t="s">
        <v>315</v>
      </c>
      <c r="F38" s="28">
        <v>43819</v>
      </c>
    </row>
    <row r="39" spans="1:6" x14ac:dyDescent="0.4">
      <c r="A39" s="26" t="s">
        <v>368</v>
      </c>
      <c r="B39" s="26" t="s">
        <v>141</v>
      </c>
      <c r="C39" s="26" t="s">
        <v>329</v>
      </c>
      <c r="D39" s="27" t="s">
        <v>369</v>
      </c>
      <c r="E39" s="26" t="s">
        <v>300</v>
      </c>
      <c r="F39" s="28">
        <v>43958</v>
      </c>
    </row>
    <row r="40" spans="1:6" x14ac:dyDescent="0.4">
      <c r="A40" s="26" t="s">
        <v>370</v>
      </c>
      <c r="B40" s="26"/>
      <c r="C40" s="26" t="s">
        <v>307</v>
      </c>
      <c r="D40" s="27" t="s">
        <v>371</v>
      </c>
      <c r="E40" s="26" t="s">
        <v>309</v>
      </c>
      <c r="F40" s="28">
        <v>43939</v>
      </c>
    </row>
    <row r="41" spans="1:6" x14ac:dyDescent="0.4">
      <c r="A41" s="26" t="s">
        <v>372</v>
      </c>
      <c r="B41" s="26" t="s">
        <v>136</v>
      </c>
      <c r="C41" s="26" t="s">
        <v>332</v>
      </c>
      <c r="D41" s="27" t="s">
        <v>373</v>
      </c>
      <c r="E41" s="26" t="s">
        <v>315</v>
      </c>
      <c r="F41" s="28">
        <v>43736</v>
      </c>
    </row>
    <row r="42" spans="1:6" x14ac:dyDescent="0.4">
      <c r="A42" s="26" t="s">
        <v>374</v>
      </c>
      <c r="B42" s="26" t="s">
        <v>136</v>
      </c>
      <c r="C42" s="26" t="s">
        <v>375</v>
      </c>
      <c r="D42" s="27" t="s">
        <v>376</v>
      </c>
      <c r="E42" s="26" t="s">
        <v>309</v>
      </c>
      <c r="F42" s="28">
        <v>43805</v>
      </c>
    </row>
    <row r="43" spans="1:6" x14ac:dyDescent="0.4">
      <c r="A43" s="26" t="s">
        <v>377</v>
      </c>
      <c r="B43" s="26" t="s">
        <v>136</v>
      </c>
      <c r="C43" s="26" t="s">
        <v>329</v>
      </c>
      <c r="D43" s="27" t="s">
        <v>378</v>
      </c>
      <c r="E43" s="26" t="s">
        <v>300</v>
      </c>
      <c r="F43" s="28">
        <v>43494</v>
      </c>
    </row>
    <row r="44" spans="1:6" x14ac:dyDescent="0.4">
      <c r="A44" s="26" t="s">
        <v>377</v>
      </c>
      <c r="B44" s="26" t="s">
        <v>136</v>
      </c>
      <c r="C44" s="26" t="s">
        <v>329</v>
      </c>
      <c r="D44" s="27" t="s">
        <v>378</v>
      </c>
      <c r="E44" s="26" t="s">
        <v>315</v>
      </c>
      <c r="F44" s="28">
        <v>43984</v>
      </c>
    </row>
    <row r="45" spans="1:6" x14ac:dyDescent="0.4">
      <c r="A45" s="26" t="s">
        <v>379</v>
      </c>
      <c r="B45" s="26" t="s">
        <v>141</v>
      </c>
      <c r="C45" s="26" t="s">
        <v>332</v>
      </c>
      <c r="D45" s="27" t="s">
        <v>380</v>
      </c>
      <c r="E45" s="26" t="s">
        <v>315</v>
      </c>
      <c r="F45" s="28">
        <v>43552</v>
      </c>
    </row>
    <row r="46" spans="1:6" x14ac:dyDescent="0.4">
      <c r="A46" s="26" t="s">
        <v>381</v>
      </c>
      <c r="B46" s="26"/>
      <c r="C46" s="26" t="s">
        <v>317</v>
      </c>
      <c r="D46" s="27" t="s">
        <v>382</v>
      </c>
      <c r="E46" s="26" t="s">
        <v>309</v>
      </c>
      <c r="F46" s="28">
        <v>43678</v>
      </c>
    </row>
    <row r="47" spans="1:6" x14ac:dyDescent="0.4">
      <c r="A47" s="26" t="s">
        <v>383</v>
      </c>
      <c r="B47" s="26" t="s">
        <v>141</v>
      </c>
      <c r="C47" s="26" t="s">
        <v>375</v>
      </c>
      <c r="D47" s="27" t="s">
        <v>384</v>
      </c>
      <c r="E47" s="26" t="s">
        <v>309</v>
      </c>
      <c r="F47" s="28">
        <v>43486</v>
      </c>
    </row>
    <row r="48" spans="1:6" x14ac:dyDescent="0.4">
      <c r="A48" s="26" t="s">
        <v>385</v>
      </c>
      <c r="B48" s="26" t="s">
        <v>141</v>
      </c>
      <c r="C48" s="26" t="s">
        <v>307</v>
      </c>
      <c r="D48" s="27" t="s">
        <v>386</v>
      </c>
      <c r="E48" s="26" t="s">
        <v>309</v>
      </c>
      <c r="F48" s="28">
        <v>43876</v>
      </c>
    </row>
    <row r="49" spans="1:6" x14ac:dyDescent="0.4">
      <c r="A49" s="26" t="s">
        <v>387</v>
      </c>
      <c r="B49" s="26" t="s">
        <v>136</v>
      </c>
      <c r="C49" s="26" t="s">
        <v>302</v>
      </c>
      <c r="D49" s="27" t="s">
        <v>388</v>
      </c>
      <c r="E49" s="26" t="s">
        <v>300</v>
      </c>
      <c r="F49" s="28">
        <v>43724</v>
      </c>
    </row>
    <row r="50" spans="1:6" x14ac:dyDescent="0.4">
      <c r="A50" s="26" t="s">
        <v>389</v>
      </c>
      <c r="B50" s="26" t="s">
        <v>136</v>
      </c>
      <c r="C50" s="26" t="s">
        <v>298</v>
      </c>
      <c r="D50" s="11"/>
      <c r="E50" s="26" t="s">
        <v>300</v>
      </c>
      <c r="F50" s="28">
        <v>43711</v>
      </c>
    </row>
    <row r="51" spans="1:6" x14ac:dyDescent="0.4">
      <c r="A51" s="26" t="s">
        <v>390</v>
      </c>
      <c r="B51" s="26" t="s">
        <v>136</v>
      </c>
      <c r="C51" s="26" t="s">
        <v>311</v>
      </c>
      <c r="D51" s="27" t="s">
        <v>391</v>
      </c>
      <c r="E51" s="26" t="s">
        <v>309</v>
      </c>
      <c r="F51" s="28">
        <v>44039</v>
      </c>
    </row>
    <row r="52" spans="1:6" x14ac:dyDescent="0.4">
      <c r="A52" s="26" t="s">
        <v>392</v>
      </c>
      <c r="B52" s="26" t="s">
        <v>136</v>
      </c>
      <c r="C52" s="26" t="s">
        <v>305</v>
      </c>
      <c r="D52" s="27" t="s">
        <v>393</v>
      </c>
      <c r="E52" s="26" t="s">
        <v>300</v>
      </c>
      <c r="F52" s="28">
        <v>43842</v>
      </c>
    </row>
    <row r="53" spans="1:6" x14ac:dyDescent="0.4">
      <c r="A53" s="26" t="s">
        <v>394</v>
      </c>
      <c r="B53" s="26" t="s">
        <v>136</v>
      </c>
      <c r="C53" s="26" t="s">
        <v>317</v>
      </c>
      <c r="D53" s="27" t="s">
        <v>395</v>
      </c>
      <c r="E53" s="26" t="s">
        <v>315</v>
      </c>
      <c r="F53" s="28">
        <v>43500</v>
      </c>
    </row>
    <row r="54" spans="1:6" x14ac:dyDescent="0.4">
      <c r="A54" s="26" t="s">
        <v>394</v>
      </c>
      <c r="B54" s="26" t="s">
        <v>136</v>
      </c>
      <c r="C54" s="26" t="s">
        <v>317</v>
      </c>
      <c r="D54" s="27" t="s">
        <v>395</v>
      </c>
      <c r="E54" s="26" t="s">
        <v>315</v>
      </c>
      <c r="F54" s="28">
        <v>43824</v>
      </c>
    </row>
    <row r="55" spans="1:6" x14ac:dyDescent="0.4">
      <c r="A55" s="26" t="s">
        <v>396</v>
      </c>
      <c r="B55" s="26" t="s">
        <v>141</v>
      </c>
      <c r="C55" s="26" t="s">
        <v>311</v>
      </c>
      <c r="D55" s="27" t="s">
        <v>397</v>
      </c>
      <c r="E55" s="26" t="s">
        <v>315</v>
      </c>
      <c r="F55" s="28">
        <v>43626</v>
      </c>
    </row>
    <row r="56" spans="1:6" x14ac:dyDescent="0.4">
      <c r="A56" s="26" t="s">
        <v>398</v>
      </c>
      <c r="B56" s="26" t="s">
        <v>141</v>
      </c>
      <c r="C56" s="26" t="s">
        <v>332</v>
      </c>
      <c r="D56" s="27" t="s">
        <v>399</v>
      </c>
      <c r="E56" s="26" t="s">
        <v>315</v>
      </c>
      <c r="F56" s="28">
        <v>43712</v>
      </c>
    </row>
    <row r="57" spans="1:6" x14ac:dyDescent="0.4">
      <c r="A57" s="26" t="s">
        <v>400</v>
      </c>
      <c r="B57" s="26" t="s">
        <v>136</v>
      </c>
      <c r="C57" s="26" t="s">
        <v>332</v>
      </c>
      <c r="D57" s="27" t="s">
        <v>401</v>
      </c>
      <c r="E57" s="26" t="s">
        <v>309</v>
      </c>
      <c r="F57" s="28">
        <v>44026</v>
      </c>
    </row>
    <row r="58" spans="1:6" x14ac:dyDescent="0.4">
      <c r="A58" s="26" t="s">
        <v>402</v>
      </c>
      <c r="B58" s="26"/>
      <c r="C58" s="26" t="s">
        <v>332</v>
      </c>
      <c r="D58" s="27" t="s">
        <v>403</v>
      </c>
      <c r="E58" s="26" t="s">
        <v>300</v>
      </c>
      <c r="F58" s="28">
        <v>44011</v>
      </c>
    </row>
    <row r="59" spans="1:6" x14ac:dyDescent="0.4">
      <c r="A59" s="26" t="s">
        <v>404</v>
      </c>
      <c r="B59" s="26"/>
      <c r="C59" s="26" t="s">
        <v>311</v>
      </c>
      <c r="D59" s="27" t="s">
        <v>405</v>
      </c>
      <c r="E59" s="26" t="s">
        <v>300</v>
      </c>
      <c r="F59" s="28">
        <v>43723</v>
      </c>
    </row>
    <row r="60" spans="1:6" x14ac:dyDescent="0.4">
      <c r="A60" s="26" t="s">
        <v>406</v>
      </c>
      <c r="B60" s="26" t="s">
        <v>136</v>
      </c>
      <c r="C60" s="26" t="s">
        <v>375</v>
      </c>
      <c r="D60" s="27" t="s">
        <v>407</v>
      </c>
      <c r="E60" s="26" t="s">
        <v>309</v>
      </c>
      <c r="F60" s="28">
        <v>44025</v>
      </c>
    </row>
    <row r="61" spans="1:6" x14ac:dyDescent="0.4">
      <c r="A61" s="26" t="s">
        <v>408</v>
      </c>
      <c r="B61" s="26" t="s">
        <v>136</v>
      </c>
      <c r="C61" s="26" t="s">
        <v>152</v>
      </c>
      <c r="D61" s="27" t="s">
        <v>409</v>
      </c>
      <c r="E61" s="26" t="s">
        <v>300</v>
      </c>
      <c r="F61" s="28">
        <v>43876</v>
      </c>
    </row>
    <row r="62" spans="1:6" x14ac:dyDescent="0.4">
      <c r="A62" s="26" t="s">
        <v>410</v>
      </c>
      <c r="B62" s="26" t="s">
        <v>141</v>
      </c>
      <c r="C62" s="26" t="s">
        <v>324</v>
      </c>
      <c r="D62" s="27" t="s">
        <v>411</v>
      </c>
      <c r="E62" s="26" t="s">
        <v>315</v>
      </c>
      <c r="F62" s="28">
        <v>43649</v>
      </c>
    </row>
    <row r="63" spans="1:6" x14ac:dyDescent="0.4">
      <c r="A63" s="26" t="s">
        <v>412</v>
      </c>
      <c r="B63" s="26" t="s">
        <v>141</v>
      </c>
      <c r="C63" s="26" t="s">
        <v>302</v>
      </c>
      <c r="D63" s="27" t="s">
        <v>413</v>
      </c>
      <c r="E63" s="26" t="s">
        <v>315</v>
      </c>
      <c r="F63" s="28">
        <v>43995</v>
      </c>
    </row>
    <row r="64" spans="1:6" x14ac:dyDescent="0.4">
      <c r="A64" s="26" t="s">
        <v>414</v>
      </c>
      <c r="B64" s="26" t="s">
        <v>141</v>
      </c>
      <c r="C64" s="26" t="s">
        <v>156</v>
      </c>
      <c r="D64" s="27" t="s">
        <v>415</v>
      </c>
      <c r="E64" s="26" t="s">
        <v>300</v>
      </c>
      <c r="F64" s="28">
        <v>43717</v>
      </c>
    </row>
    <row r="65" spans="1:6" x14ac:dyDescent="0.4">
      <c r="A65" s="26" t="s">
        <v>416</v>
      </c>
      <c r="B65" s="26" t="s">
        <v>141</v>
      </c>
      <c r="C65" s="26" t="s">
        <v>317</v>
      </c>
      <c r="D65" s="27" t="s">
        <v>417</v>
      </c>
      <c r="E65" s="26" t="s">
        <v>315</v>
      </c>
      <c r="F65" s="28">
        <v>43650</v>
      </c>
    </row>
    <row r="66" spans="1:6" x14ac:dyDescent="0.4">
      <c r="A66" s="26" t="s">
        <v>418</v>
      </c>
      <c r="B66" s="26" t="s">
        <v>141</v>
      </c>
      <c r="C66" s="26" t="s">
        <v>317</v>
      </c>
      <c r="D66" s="27" t="s">
        <v>419</v>
      </c>
      <c r="E66" s="26" t="s">
        <v>309</v>
      </c>
      <c r="F66" s="28">
        <v>43684</v>
      </c>
    </row>
    <row r="67" spans="1:6" x14ac:dyDescent="0.4">
      <c r="A67" s="26" t="s">
        <v>420</v>
      </c>
      <c r="B67" s="26" t="s">
        <v>141</v>
      </c>
      <c r="C67" s="26" t="s">
        <v>329</v>
      </c>
      <c r="D67" s="27" t="s">
        <v>421</v>
      </c>
      <c r="E67" s="26" t="s">
        <v>315</v>
      </c>
      <c r="F67" s="28">
        <v>43643</v>
      </c>
    </row>
    <row r="68" spans="1:6" x14ac:dyDescent="0.4">
      <c r="A68" s="26" t="s">
        <v>422</v>
      </c>
      <c r="B68" s="26" t="s">
        <v>136</v>
      </c>
      <c r="C68" s="26" t="s">
        <v>156</v>
      </c>
      <c r="D68" s="27" t="s">
        <v>423</v>
      </c>
      <c r="E68" s="26" t="s">
        <v>315</v>
      </c>
      <c r="F68" s="28">
        <v>43994</v>
      </c>
    </row>
    <row r="69" spans="1:6" x14ac:dyDescent="0.4">
      <c r="A69" s="26" t="s">
        <v>424</v>
      </c>
      <c r="B69" s="26" t="s">
        <v>136</v>
      </c>
      <c r="C69" s="26" t="s">
        <v>317</v>
      </c>
      <c r="D69" s="27" t="s">
        <v>425</v>
      </c>
      <c r="E69" s="26" t="s">
        <v>315</v>
      </c>
      <c r="F69" s="28">
        <v>43534</v>
      </c>
    </row>
    <row r="70" spans="1:6" x14ac:dyDescent="0.4">
      <c r="A70" s="26" t="s">
        <v>424</v>
      </c>
      <c r="B70" s="26" t="s">
        <v>136</v>
      </c>
      <c r="C70" s="26" t="s">
        <v>317</v>
      </c>
      <c r="D70" s="27" t="s">
        <v>425</v>
      </c>
      <c r="E70" s="26" t="s">
        <v>309</v>
      </c>
      <c r="F70" s="28">
        <v>43711</v>
      </c>
    </row>
    <row r="71" spans="1:6" x14ac:dyDescent="0.4">
      <c r="A71" s="26" t="s">
        <v>426</v>
      </c>
      <c r="B71" s="26" t="s">
        <v>141</v>
      </c>
      <c r="C71" s="26" t="s">
        <v>305</v>
      </c>
      <c r="D71" s="27" t="s">
        <v>427</v>
      </c>
      <c r="E71" s="26" t="s">
        <v>309</v>
      </c>
      <c r="F71" s="28">
        <v>43887</v>
      </c>
    </row>
    <row r="72" spans="1:6" x14ac:dyDescent="0.4">
      <c r="A72" s="26" t="s">
        <v>428</v>
      </c>
      <c r="B72" s="26" t="s">
        <v>141</v>
      </c>
      <c r="C72" s="26" t="s">
        <v>307</v>
      </c>
      <c r="D72" s="27" t="s">
        <v>429</v>
      </c>
      <c r="E72" s="26" t="s">
        <v>315</v>
      </c>
      <c r="F72" s="28">
        <v>43732</v>
      </c>
    </row>
    <row r="73" spans="1:6" x14ac:dyDescent="0.4">
      <c r="A73" s="26" t="s">
        <v>428</v>
      </c>
      <c r="B73" s="26" t="s">
        <v>141</v>
      </c>
      <c r="C73" s="26" t="s">
        <v>307</v>
      </c>
      <c r="D73" s="27" t="s">
        <v>429</v>
      </c>
      <c r="E73" s="26" t="s">
        <v>309</v>
      </c>
      <c r="F73" s="28">
        <v>43933</v>
      </c>
    </row>
    <row r="74" spans="1:6" x14ac:dyDescent="0.4">
      <c r="A74" s="26" t="s">
        <v>430</v>
      </c>
      <c r="B74" s="26"/>
      <c r="C74" s="26" t="s">
        <v>329</v>
      </c>
      <c r="D74" s="27" t="s">
        <v>431</v>
      </c>
      <c r="E74" s="26" t="s">
        <v>309</v>
      </c>
      <c r="F74" s="28">
        <v>43896</v>
      </c>
    </row>
    <row r="75" spans="1:6" x14ac:dyDescent="0.4">
      <c r="A75" s="26" t="s">
        <v>432</v>
      </c>
      <c r="B75" s="26"/>
      <c r="C75" s="26" t="s">
        <v>375</v>
      </c>
      <c r="D75" s="27" t="s">
        <v>433</v>
      </c>
      <c r="E75" s="26" t="s">
        <v>300</v>
      </c>
      <c r="F75" s="28">
        <v>43581</v>
      </c>
    </row>
    <row r="76" spans="1:6" x14ac:dyDescent="0.4">
      <c r="A76" s="26" t="s">
        <v>434</v>
      </c>
      <c r="B76" s="26" t="s">
        <v>136</v>
      </c>
      <c r="C76" s="26" t="s">
        <v>307</v>
      </c>
      <c r="D76" s="27" t="s">
        <v>435</v>
      </c>
      <c r="E76" s="26" t="s">
        <v>300</v>
      </c>
      <c r="F76" s="28">
        <v>43727</v>
      </c>
    </row>
    <row r="77" spans="1:6" x14ac:dyDescent="0.4">
      <c r="A77" s="26" t="s">
        <v>436</v>
      </c>
      <c r="B77" s="26" t="s">
        <v>136</v>
      </c>
      <c r="C77" s="26" t="s">
        <v>317</v>
      </c>
      <c r="D77" s="27" t="s">
        <v>437</v>
      </c>
      <c r="E77" s="26" t="s">
        <v>300</v>
      </c>
      <c r="F77" s="28">
        <v>43477</v>
      </c>
    </row>
    <row r="78" spans="1:6" x14ac:dyDescent="0.4">
      <c r="A78" s="26" t="s">
        <v>436</v>
      </c>
      <c r="B78" s="26" t="s">
        <v>136</v>
      </c>
      <c r="C78" s="26" t="s">
        <v>317</v>
      </c>
      <c r="D78" s="27" t="s">
        <v>437</v>
      </c>
      <c r="E78" s="26" t="s">
        <v>300</v>
      </c>
      <c r="F78" s="28">
        <v>43701</v>
      </c>
    </row>
    <row r="79" spans="1:6" x14ac:dyDescent="0.4">
      <c r="A79" s="26" t="s">
        <v>438</v>
      </c>
      <c r="B79" s="26" t="s">
        <v>136</v>
      </c>
      <c r="C79" s="26" t="s">
        <v>329</v>
      </c>
      <c r="D79" s="27" t="s">
        <v>439</v>
      </c>
      <c r="E79" s="26" t="s">
        <v>309</v>
      </c>
      <c r="F79" s="28">
        <v>44002</v>
      </c>
    </row>
    <row r="80" spans="1:6" x14ac:dyDescent="0.4">
      <c r="A80" s="26" t="s">
        <v>440</v>
      </c>
      <c r="B80" s="26" t="s">
        <v>141</v>
      </c>
      <c r="C80" s="26" t="s">
        <v>317</v>
      </c>
      <c r="D80" s="27" t="s">
        <v>441</v>
      </c>
      <c r="E80" s="26" t="s">
        <v>309</v>
      </c>
      <c r="F80" s="28">
        <v>43613</v>
      </c>
    </row>
    <row r="81" spans="1:6" x14ac:dyDescent="0.4">
      <c r="A81" s="26" t="s">
        <v>440</v>
      </c>
      <c r="B81" s="26" t="s">
        <v>141</v>
      </c>
      <c r="C81" s="26" t="s">
        <v>317</v>
      </c>
      <c r="D81" s="27" t="s">
        <v>441</v>
      </c>
      <c r="E81" s="26" t="s">
        <v>300</v>
      </c>
      <c r="F81" s="28">
        <v>43795</v>
      </c>
    </row>
    <row r="82" spans="1:6" x14ac:dyDescent="0.4">
      <c r="A82" s="26" t="s">
        <v>442</v>
      </c>
      <c r="B82" s="26" t="s">
        <v>136</v>
      </c>
      <c r="C82" s="26" t="s">
        <v>305</v>
      </c>
      <c r="D82" s="27" t="s">
        <v>443</v>
      </c>
      <c r="E82" s="26" t="s">
        <v>315</v>
      </c>
      <c r="F82" s="28">
        <v>43548</v>
      </c>
    </row>
    <row r="83" spans="1:6" x14ac:dyDescent="0.4">
      <c r="A83" s="26" t="s">
        <v>444</v>
      </c>
      <c r="B83" s="26" t="s">
        <v>136</v>
      </c>
      <c r="C83" s="26" t="s">
        <v>152</v>
      </c>
      <c r="D83" s="27" t="s">
        <v>445</v>
      </c>
      <c r="E83" s="26" t="s">
        <v>315</v>
      </c>
      <c r="F83" s="28">
        <v>43932</v>
      </c>
    </row>
    <row r="84" spans="1:6" x14ac:dyDescent="0.4">
      <c r="A84" s="26" t="s">
        <v>446</v>
      </c>
      <c r="B84" s="26" t="s">
        <v>136</v>
      </c>
      <c r="C84" s="26" t="s">
        <v>317</v>
      </c>
      <c r="D84" s="27" t="s">
        <v>447</v>
      </c>
      <c r="E84" s="26" t="s">
        <v>309</v>
      </c>
      <c r="F84" s="28">
        <v>43806</v>
      </c>
    </row>
    <row r="85" spans="1:6" x14ac:dyDescent="0.4">
      <c r="A85" s="26" t="s">
        <v>446</v>
      </c>
      <c r="B85" s="26" t="s">
        <v>136</v>
      </c>
      <c r="C85" s="26" t="s">
        <v>317</v>
      </c>
      <c r="D85" s="27" t="s">
        <v>447</v>
      </c>
      <c r="E85" s="26" t="s">
        <v>300</v>
      </c>
      <c r="F85" s="28">
        <v>43876</v>
      </c>
    </row>
    <row r="86" spans="1:6" x14ac:dyDescent="0.4">
      <c r="A86" s="26" t="s">
        <v>448</v>
      </c>
      <c r="B86" s="26" t="s">
        <v>141</v>
      </c>
      <c r="C86" s="26" t="s">
        <v>449</v>
      </c>
      <c r="D86" s="27" t="s">
        <v>450</v>
      </c>
      <c r="E86" s="26" t="s">
        <v>315</v>
      </c>
      <c r="F86" s="28">
        <v>43993</v>
      </c>
    </row>
    <row r="87" spans="1:6" x14ac:dyDescent="0.4">
      <c r="A87" s="26" t="s">
        <v>451</v>
      </c>
      <c r="B87" s="26" t="s">
        <v>136</v>
      </c>
      <c r="C87" s="26" t="s">
        <v>156</v>
      </c>
      <c r="D87" s="27" t="s">
        <v>452</v>
      </c>
      <c r="E87" s="26" t="s">
        <v>315</v>
      </c>
      <c r="F87" s="28">
        <v>43942</v>
      </c>
    </row>
    <row r="88" spans="1:6" x14ac:dyDescent="0.4">
      <c r="A88" s="26" t="s">
        <v>453</v>
      </c>
      <c r="B88" s="26" t="s">
        <v>136</v>
      </c>
      <c r="C88" s="26" t="s">
        <v>317</v>
      </c>
      <c r="D88" s="27" t="s">
        <v>454</v>
      </c>
      <c r="E88" s="26" t="s">
        <v>309</v>
      </c>
      <c r="F88" s="28">
        <v>43839</v>
      </c>
    </row>
    <row r="89" spans="1:6" x14ac:dyDescent="0.4">
      <c r="A89" s="26" t="s">
        <v>455</v>
      </c>
      <c r="B89" s="26" t="s">
        <v>136</v>
      </c>
      <c r="C89" s="26" t="s">
        <v>311</v>
      </c>
      <c r="D89" s="27" t="s">
        <v>456</v>
      </c>
      <c r="E89" s="26" t="s">
        <v>309</v>
      </c>
      <c r="F89" s="28">
        <v>43512</v>
      </c>
    </row>
    <row r="90" spans="1:6" x14ac:dyDescent="0.4">
      <c r="A90" s="26" t="s">
        <v>457</v>
      </c>
      <c r="B90" s="26" t="s">
        <v>141</v>
      </c>
      <c r="C90" s="26" t="s">
        <v>302</v>
      </c>
      <c r="D90" s="27" t="s">
        <v>458</v>
      </c>
      <c r="E90" s="26" t="s">
        <v>315</v>
      </c>
      <c r="F90" s="28">
        <v>43639</v>
      </c>
    </row>
    <row r="91" spans="1:6" x14ac:dyDescent="0.4">
      <c r="A91" s="26" t="s">
        <v>459</v>
      </c>
      <c r="B91" s="26" t="s">
        <v>141</v>
      </c>
      <c r="C91" s="26" t="s">
        <v>375</v>
      </c>
      <c r="D91" s="27" t="s">
        <v>460</v>
      </c>
      <c r="E91" s="26" t="s">
        <v>309</v>
      </c>
      <c r="F91" s="28">
        <v>43555</v>
      </c>
    </row>
    <row r="92" spans="1:6" x14ac:dyDescent="0.4">
      <c r="A92" s="26" t="s">
        <v>461</v>
      </c>
      <c r="B92" s="26" t="s">
        <v>136</v>
      </c>
      <c r="C92" s="26" t="s">
        <v>375</v>
      </c>
      <c r="D92" s="26"/>
      <c r="E92" s="26" t="s">
        <v>300</v>
      </c>
      <c r="F92" s="28">
        <v>43565</v>
      </c>
    </row>
    <row r="93" spans="1:6" x14ac:dyDescent="0.4">
      <c r="A93" s="26" t="s">
        <v>462</v>
      </c>
      <c r="B93" s="26" t="s">
        <v>136</v>
      </c>
      <c r="C93" s="26" t="s">
        <v>332</v>
      </c>
      <c r="D93" s="27" t="s">
        <v>463</v>
      </c>
      <c r="E93" s="26" t="s">
        <v>309</v>
      </c>
      <c r="F93" s="28">
        <v>43716</v>
      </c>
    </row>
    <row r="94" spans="1:6" x14ac:dyDescent="0.4">
      <c r="A94" s="26" t="s">
        <v>464</v>
      </c>
      <c r="B94" s="26" t="s">
        <v>141</v>
      </c>
      <c r="C94" s="26" t="s">
        <v>311</v>
      </c>
      <c r="D94" s="27" t="s">
        <v>465</v>
      </c>
      <c r="E94" s="26" t="s">
        <v>309</v>
      </c>
      <c r="F94" s="28">
        <v>43746</v>
      </c>
    </row>
    <row r="98" spans="1:20" x14ac:dyDescent="0.4">
      <c r="S98" t="s">
        <v>634</v>
      </c>
      <c r="T98" t="s">
        <v>635</v>
      </c>
    </row>
    <row r="99" spans="1:20" x14ac:dyDescent="0.4">
      <c r="A99" s="11" t="s">
        <v>476</v>
      </c>
      <c r="B99" s="11" t="s">
        <v>477</v>
      </c>
      <c r="C99" s="11" t="s">
        <v>132</v>
      </c>
      <c r="D99" s="11" t="s">
        <v>126</v>
      </c>
      <c r="E99" s="11" t="s">
        <v>127</v>
      </c>
      <c r="F99" s="11" t="s">
        <v>478</v>
      </c>
      <c r="G99" s="11" t="s">
        <v>479</v>
      </c>
      <c r="H99" s="11" t="s">
        <v>480</v>
      </c>
      <c r="I99" s="11" t="s">
        <v>481</v>
      </c>
      <c r="J99" s="11" t="s">
        <v>482</v>
      </c>
      <c r="K99" s="11" t="s">
        <v>483</v>
      </c>
      <c r="L99" s="11" t="s">
        <v>484</v>
      </c>
      <c r="M99" s="11" t="s">
        <v>485</v>
      </c>
      <c r="N99" s="11" t="s">
        <v>486</v>
      </c>
      <c r="O99" s="11" t="s">
        <v>487</v>
      </c>
      <c r="R99" s="11" t="s">
        <v>631</v>
      </c>
      <c r="S99" s="11" t="s">
        <v>632</v>
      </c>
      <c r="T99" s="11" t="s">
        <v>633</v>
      </c>
    </row>
    <row r="100" spans="1:20" x14ac:dyDescent="0.4">
      <c r="A100" s="11" t="s">
        <v>488</v>
      </c>
      <c r="B100" s="11" t="s">
        <v>135</v>
      </c>
      <c r="C100" s="11" t="s">
        <v>139</v>
      </c>
      <c r="D100" s="10">
        <v>28</v>
      </c>
      <c r="E100" s="11" t="s">
        <v>136</v>
      </c>
      <c r="F100" s="11" t="s">
        <v>89</v>
      </c>
      <c r="G100" s="11" t="s">
        <v>88</v>
      </c>
      <c r="H100" s="10">
        <v>55000</v>
      </c>
      <c r="I100" s="10">
        <v>1</v>
      </c>
      <c r="J100" s="12">
        <v>46027</v>
      </c>
      <c r="K100" s="11" t="s">
        <v>489</v>
      </c>
      <c r="L100" s="10">
        <v>300000</v>
      </c>
      <c r="M100" s="10">
        <v>5</v>
      </c>
      <c r="N100" s="10">
        <v>9.5</v>
      </c>
      <c r="O100" s="11" t="s">
        <v>490</v>
      </c>
      <c r="R100" s="11" t="s">
        <v>518</v>
      </c>
      <c r="S100" t="str">
        <f t="shared" ref="S100:S110" si="0">VLOOKUP(R100,$A$99:$O$149,11,FALSE)</f>
        <v>Credit Card</v>
      </c>
      <c r="T100">
        <f t="shared" ref="T100:T110" si="1">INDEX($L$99:$L$149,MATCH(R100,$A$99:$A$149,FALSE))</f>
        <v>120000</v>
      </c>
    </row>
    <row r="101" spans="1:20" x14ac:dyDescent="0.4">
      <c r="A101" s="11" t="s">
        <v>491</v>
      </c>
      <c r="B101" s="11" t="s">
        <v>140</v>
      </c>
      <c r="C101" s="11" t="s">
        <v>144</v>
      </c>
      <c r="D101" s="10">
        <v>32</v>
      </c>
      <c r="E101" s="11" t="s">
        <v>141</v>
      </c>
      <c r="F101" s="11" t="s">
        <v>492</v>
      </c>
      <c r="G101" s="11" t="s">
        <v>493</v>
      </c>
      <c r="H101" s="10">
        <v>2500</v>
      </c>
      <c r="I101" s="10">
        <v>2</v>
      </c>
      <c r="J101" s="12">
        <v>46029</v>
      </c>
      <c r="K101" s="11" t="s">
        <v>494</v>
      </c>
      <c r="L101" s="10">
        <v>150000</v>
      </c>
      <c r="M101" s="10">
        <v>3</v>
      </c>
      <c r="N101" s="10">
        <v>10.199999999999999</v>
      </c>
      <c r="O101" s="11" t="s">
        <v>490</v>
      </c>
      <c r="R101" s="11" t="s">
        <v>522</v>
      </c>
      <c r="S101" t="str">
        <f t="shared" si="0"/>
        <v>UPI</v>
      </c>
      <c r="T101">
        <f t="shared" si="1"/>
        <v>275000</v>
      </c>
    </row>
    <row r="102" spans="1:20" x14ac:dyDescent="0.4">
      <c r="A102" s="11" t="s">
        <v>495</v>
      </c>
      <c r="B102" s="11" t="s">
        <v>145</v>
      </c>
      <c r="C102" s="11" t="s">
        <v>139</v>
      </c>
      <c r="D102" s="10">
        <v>41</v>
      </c>
      <c r="E102" s="11" t="s">
        <v>136</v>
      </c>
      <c r="F102" s="11" t="s">
        <v>96</v>
      </c>
      <c r="G102" s="11" t="s">
        <v>496</v>
      </c>
      <c r="H102" s="10">
        <v>4500</v>
      </c>
      <c r="I102" s="10">
        <v>4</v>
      </c>
      <c r="J102" s="12">
        <v>46032</v>
      </c>
      <c r="K102" s="11" t="s">
        <v>497</v>
      </c>
      <c r="L102" s="10">
        <v>500000</v>
      </c>
      <c r="M102" s="10">
        <v>7</v>
      </c>
      <c r="N102" s="10">
        <v>8.9</v>
      </c>
      <c r="O102" s="11" t="s">
        <v>490</v>
      </c>
      <c r="R102" s="11" t="s">
        <v>524</v>
      </c>
      <c r="S102" t="str">
        <f t="shared" si="0"/>
        <v>UPI</v>
      </c>
      <c r="T102">
        <f t="shared" si="1"/>
        <v>160000</v>
      </c>
    </row>
    <row r="103" spans="1:20" x14ac:dyDescent="0.4">
      <c r="A103" s="11" t="s">
        <v>498</v>
      </c>
      <c r="B103" s="11" t="s">
        <v>499</v>
      </c>
      <c r="C103" s="11" t="s">
        <v>224</v>
      </c>
      <c r="D103" s="10">
        <v>26</v>
      </c>
      <c r="E103" s="11" t="s">
        <v>141</v>
      </c>
      <c r="F103" s="11" t="s">
        <v>89</v>
      </c>
      <c r="G103" s="11" t="s">
        <v>112</v>
      </c>
      <c r="H103" s="10">
        <v>1800</v>
      </c>
      <c r="I103" s="10">
        <v>1</v>
      </c>
      <c r="J103" s="12">
        <v>46034</v>
      </c>
      <c r="K103" s="11" t="s">
        <v>489</v>
      </c>
      <c r="L103" s="10">
        <v>100000</v>
      </c>
      <c r="M103" s="10">
        <v>2</v>
      </c>
      <c r="N103" s="10">
        <v>11.5</v>
      </c>
      <c r="O103" s="11" t="s">
        <v>500</v>
      </c>
      <c r="R103" s="11" t="s">
        <v>526</v>
      </c>
      <c r="S103" t="str">
        <f t="shared" si="0"/>
        <v>Net Banking</v>
      </c>
      <c r="T103">
        <f t="shared" si="1"/>
        <v>450000</v>
      </c>
    </row>
    <row r="104" spans="1:20" x14ac:dyDescent="0.4">
      <c r="A104" s="11" t="s">
        <v>501</v>
      </c>
      <c r="B104" s="11" t="s">
        <v>151</v>
      </c>
      <c r="C104" s="11" t="s">
        <v>502</v>
      </c>
      <c r="D104" s="10">
        <v>35</v>
      </c>
      <c r="E104" s="11" t="s">
        <v>136</v>
      </c>
      <c r="F104" s="11" t="s">
        <v>89</v>
      </c>
      <c r="G104" s="11" t="s">
        <v>503</v>
      </c>
      <c r="H104" s="10">
        <v>22000</v>
      </c>
      <c r="I104" s="10">
        <v>1</v>
      </c>
      <c r="J104" s="12">
        <v>46037</v>
      </c>
      <c r="K104" s="11" t="s">
        <v>494</v>
      </c>
      <c r="L104" s="10">
        <v>250000</v>
      </c>
      <c r="M104" s="10">
        <v>4</v>
      </c>
      <c r="N104" s="10">
        <v>9.8000000000000007</v>
      </c>
      <c r="O104" s="11" t="s">
        <v>490</v>
      </c>
      <c r="R104" s="11" t="s">
        <v>529</v>
      </c>
      <c r="S104" t="str">
        <f t="shared" si="0"/>
        <v>Credit Card</v>
      </c>
      <c r="T104">
        <f t="shared" si="1"/>
        <v>80000</v>
      </c>
    </row>
    <row r="105" spans="1:20" x14ac:dyDescent="0.4">
      <c r="A105" s="11" t="s">
        <v>504</v>
      </c>
      <c r="B105" s="11" t="s">
        <v>505</v>
      </c>
      <c r="C105" s="11" t="s">
        <v>154</v>
      </c>
      <c r="D105" s="10">
        <v>29</v>
      </c>
      <c r="E105" s="11" t="s">
        <v>141</v>
      </c>
      <c r="F105" s="11" t="s">
        <v>506</v>
      </c>
      <c r="G105" s="11" t="s">
        <v>507</v>
      </c>
      <c r="H105" s="10">
        <v>3200</v>
      </c>
      <c r="I105" s="10">
        <v>3</v>
      </c>
      <c r="J105" s="12">
        <v>46040</v>
      </c>
      <c r="K105" s="11" t="s">
        <v>489</v>
      </c>
      <c r="L105" s="10">
        <v>180000</v>
      </c>
      <c r="M105" s="10">
        <v>3</v>
      </c>
      <c r="N105" s="10">
        <v>10.5</v>
      </c>
      <c r="O105" s="11" t="s">
        <v>490</v>
      </c>
      <c r="R105" s="11" t="s">
        <v>531</v>
      </c>
      <c r="S105" t="str">
        <f t="shared" si="0"/>
        <v>UPI</v>
      </c>
      <c r="T105">
        <f t="shared" si="1"/>
        <v>300000</v>
      </c>
    </row>
    <row r="106" spans="1:20" x14ac:dyDescent="0.4">
      <c r="A106" s="11" t="s">
        <v>508</v>
      </c>
      <c r="B106" s="11" t="s">
        <v>509</v>
      </c>
      <c r="C106" s="11" t="s">
        <v>172</v>
      </c>
      <c r="D106" s="10">
        <v>45</v>
      </c>
      <c r="E106" s="11" t="s">
        <v>136</v>
      </c>
      <c r="F106" s="11" t="s">
        <v>510</v>
      </c>
      <c r="G106" s="11" t="s">
        <v>511</v>
      </c>
      <c r="H106" s="10">
        <v>1200</v>
      </c>
      <c r="I106" s="10">
        <v>5</v>
      </c>
      <c r="J106" s="12">
        <v>46042</v>
      </c>
      <c r="K106" s="11" t="s">
        <v>512</v>
      </c>
      <c r="L106" s="10">
        <v>400000</v>
      </c>
      <c r="M106" s="10">
        <v>6</v>
      </c>
      <c r="N106" s="10">
        <v>9.1999999999999993</v>
      </c>
      <c r="O106" s="11" t="s">
        <v>490</v>
      </c>
      <c r="R106" t="s">
        <v>615</v>
      </c>
      <c r="S106" t="str">
        <f t="shared" si="0"/>
        <v>Credit Card</v>
      </c>
      <c r="T106">
        <f t="shared" si="1"/>
        <v>115000</v>
      </c>
    </row>
    <row r="107" spans="1:20" x14ac:dyDescent="0.4">
      <c r="A107" s="11" t="s">
        <v>513</v>
      </c>
      <c r="B107" s="11" t="s">
        <v>165</v>
      </c>
      <c r="C107" s="11" t="s">
        <v>139</v>
      </c>
      <c r="D107" s="10">
        <v>31</v>
      </c>
      <c r="E107" s="11" t="s">
        <v>141</v>
      </c>
      <c r="F107" s="11" t="s">
        <v>492</v>
      </c>
      <c r="G107" s="11" t="s">
        <v>514</v>
      </c>
      <c r="H107" s="10">
        <v>3500</v>
      </c>
      <c r="I107" s="10">
        <v>2</v>
      </c>
      <c r="J107" s="12">
        <v>46044</v>
      </c>
      <c r="K107" s="11" t="s">
        <v>489</v>
      </c>
      <c r="L107" s="10">
        <v>200000</v>
      </c>
      <c r="M107" s="10">
        <v>4</v>
      </c>
      <c r="N107" s="10">
        <v>10</v>
      </c>
      <c r="O107" s="11" t="s">
        <v>490</v>
      </c>
      <c r="R107" t="s">
        <v>531</v>
      </c>
      <c r="S107" t="str">
        <f t="shared" si="0"/>
        <v>UPI</v>
      </c>
      <c r="T107">
        <f t="shared" si="1"/>
        <v>300000</v>
      </c>
    </row>
    <row r="108" spans="1:20" x14ac:dyDescent="0.4">
      <c r="A108" s="11" t="s">
        <v>515</v>
      </c>
      <c r="B108" s="11" t="s">
        <v>516</v>
      </c>
      <c r="C108" s="11" t="s">
        <v>168</v>
      </c>
      <c r="D108" s="10">
        <v>38</v>
      </c>
      <c r="E108" s="11" t="s">
        <v>136</v>
      </c>
      <c r="F108" s="11" t="s">
        <v>89</v>
      </c>
      <c r="G108" s="11" t="s">
        <v>517</v>
      </c>
      <c r="H108" s="10">
        <v>18000</v>
      </c>
      <c r="I108" s="10">
        <v>1</v>
      </c>
      <c r="J108" s="12">
        <v>46047</v>
      </c>
      <c r="K108" s="11" t="s">
        <v>497</v>
      </c>
      <c r="L108" s="10">
        <v>350000</v>
      </c>
      <c r="M108" s="10">
        <v>5</v>
      </c>
      <c r="N108" s="10">
        <v>9.6999999999999993</v>
      </c>
      <c r="O108" s="11" t="s">
        <v>490</v>
      </c>
      <c r="R108" t="s">
        <v>524</v>
      </c>
      <c r="S108" t="str">
        <f t="shared" si="0"/>
        <v>UPI</v>
      </c>
      <c r="T108">
        <f t="shared" si="1"/>
        <v>160000</v>
      </c>
    </row>
    <row r="109" spans="1:20" x14ac:dyDescent="0.4">
      <c r="A109" s="11" t="s">
        <v>518</v>
      </c>
      <c r="B109" s="11" t="s">
        <v>519</v>
      </c>
      <c r="C109" s="11" t="s">
        <v>150</v>
      </c>
      <c r="D109" s="10">
        <v>27</v>
      </c>
      <c r="E109" s="11" t="s">
        <v>141</v>
      </c>
      <c r="F109" s="11" t="s">
        <v>520</v>
      </c>
      <c r="G109" s="11" t="s">
        <v>521</v>
      </c>
      <c r="H109" s="10">
        <v>4500</v>
      </c>
      <c r="I109" s="10">
        <v>1</v>
      </c>
      <c r="J109" s="12">
        <v>46050</v>
      </c>
      <c r="K109" s="11" t="s">
        <v>494</v>
      </c>
      <c r="L109" s="10">
        <v>120000</v>
      </c>
      <c r="M109" s="10">
        <v>2</v>
      </c>
      <c r="N109" s="10">
        <v>11.2</v>
      </c>
      <c r="O109" s="11" t="s">
        <v>500</v>
      </c>
      <c r="R109" t="s">
        <v>522</v>
      </c>
      <c r="S109" t="str">
        <f t="shared" si="0"/>
        <v>UPI</v>
      </c>
      <c r="T109">
        <f t="shared" si="1"/>
        <v>275000</v>
      </c>
    </row>
    <row r="110" spans="1:20" x14ac:dyDescent="0.4">
      <c r="A110" s="11" t="s">
        <v>522</v>
      </c>
      <c r="B110" s="11" t="s">
        <v>523</v>
      </c>
      <c r="C110" s="11" t="s">
        <v>139</v>
      </c>
      <c r="D110" s="10">
        <v>33</v>
      </c>
      <c r="E110" s="11" t="s">
        <v>136</v>
      </c>
      <c r="F110" s="11" t="s">
        <v>89</v>
      </c>
      <c r="G110" s="11" t="s">
        <v>107</v>
      </c>
      <c r="H110" s="10">
        <v>15000</v>
      </c>
      <c r="I110" s="10">
        <v>2</v>
      </c>
      <c r="J110" s="12">
        <v>46055</v>
      </c>
      <c r="K110" s="11" t="s">
        <v>489</v>
      </c>
      <c r="L110" s="10">
        <v>275000</v>
      </c>
      <c r="M110" s="10">
        <v>5</v>
      </c>
      <c r="N110" s="10">
        <v>9.6</v>
      </c>
      <c r="O110" s="11" t="s">
        <v>490</v>
      </c>
      <c r="R110" t="s">
        <v>529</v>
      </c>
      <c r="S110" t="str">
        <f t="shared" si="0"/>
        <v>Credit Card</v>
      </c>
      <c r="T110">
        <f t="shared" si="1"/>
        <v>80000</v>
      </c>
    </row>
    <row r="111" spans="1:20" x14ac:dyDescent="0.4">
      <c r="A111" s="11" t="s">
        <v>524</v>
      </c>
      <c r="B111" s="11" t="s">
        <v>184</v>
      </c>
      <c r="C111" s="11" t="s">
        <v>185</v>
      </c>
      <c r="D111" s="10">
        <v>30</v>
      </c>
      <c r="E111" s="11" t="s">
        <v>141</v>
      </c>
      <c r="F111" s="11" t="s">
        <v>492</v>
      </c>
      <c r="G111" s="11" t="s">
        <v>525</v>
      </c>
      <c r="H111" s="10">
        <v>2800</v>
      </c>
      <c r="I111" s="10">
        <v>2</v>
      </c>
      <c r="J111" s="12">
        <v>46057</v>
      </c>
      <c r="K111" s="11" t="s">
        <v>489</v>
      </c>
      <c r="L111" s="10">
        <v>160000</v>
      </c>
      <c r="M111" s="10">
        <v>3</v>
      </c>
      <c r="N111" s="10">
        <v>10.4</v>
      </c>
      <c r="O111" s="11" t="s">
        <v>490</v>
      </c>
    </row>
    <row r="112" spans="1:20" x14ac:dyDescent="0.4">
      <c r="A112" s="11" t="s">
        <v>526</v>
      </c>
      <c r="B112" s="11" t="s">
        <v>527</v>
      </c>
      <c r="C112" s="11" t="s">
        <v>172</v>
      </c>
      <c r="D112" s="10">
        <v>42</v>
      </c>
      <c r="E112" s="11" t="s">
        <v>136</v>
      </c>
      <c r="F112" s="11" t="s">
        <v>96</v>
      </c>
      <c r="G112" s="11" t="s">
        <v>528</v>
      </c>
      <c r="H112" s="10">
        <v>12000</v>
      </c>
      <c r="I112" s="10">
        <v>1</v>
      </c>
      <c r="J112" s="12">
        <v>46059</v>
      </c>
      <c r="K112" s="11" t="s">
        <v>497</v>
      </c>
      <c r="L112" s="10">
        <v>450000</v>
      </c>
      <c r="M112" s="10">
        <v>7</v>
      </c>
      <c r="N112" s="10">
        <v>8.8000000000000007</v>
      </c>
      <c r="O112" s="11" t="s">
        <v>490</v>
      </c>
    </row>
    <row r="113" spans="1:19" x14ac:dyDescent="0.4">
      <c r="A113" s="11" t="s">
        <v>529</v>
      </c>
      <c r="B113" s="11" t="s">
        <v>177</v>
      </c>
      <c r="C113" s="11" t="s">
        <v>139</v>
      </c>
      <c r="D113" s="10">
        <v>24</v>
      </c>
      <c r="E113" s="11" t="s">
        <v>141</v>
      </c>
      <c r="F113" s="11" t="s">
        <v>506</v>
      </c>
      <c r="G113" s="11" t="s">
        <v>530</v>
      </c>
      <c r="H113" s="10">
        <v>2200</v>
      </c>
      <c r="I113" s="10">
        <v>2</v>
      </c>
      <c r="J113" s="12">
        <v>46061</v>
      </c>
      <c r="K113" s="11" t="s">
        <v>494</v>
      </c>
      <c r="L113" s="10">
        <v>80000</v>
      </c>
      <c r="M113" s="10">
        <v>2</v>
      </c>
      <c r="N113" s="10">
        <v>12</v>
      </c>
      <c r="O113" s="11" t="s">
        <v>500</v>
      </c>
      <c r="R113" s="17" t="s">
        <v>636</v>
      </c>
      <c r="S113" s="17"/>
    </row>
    <row r="114" spans="1:19" x14ac:dyDescent="0.4">
      <c r="A114" s="11" t="s">
        <v>531</v>
      </c>
      <c r="B114" s="11" t="s">
        <v>532</v>
      </c>
      <c r="C114" s="11" t="s">
        <v>192</v>
      </c>
      <c r="D114" s="10">
        <v>39</v>
      </c>
      <c r="E114" s="11" t="s">
        <v>136</v>
      </c>
      <c r="F114" s="11" t="s">
        <v>89</v>
      </c>
      <c r="G114" s="11" t="s">
        <v>533</v>
      </c>
      <c r="H114" s="10">
        <v>32000</v>
      </c>
      <c r="I114" s="10">
        <v>1</v>
      </c>
      <c r="J114" s="12">
        <v>46063</v>
      </c>
      <c r="K114" s="11" t="s">
        <v>489</v>
      </c>
      <c r="L114" s="10">
        <v>300000</v>
      </c>
      <c r="M114" s="10">
        <v>5</v>
      </c>
      <c r="N114" s="10">
        <v>9.9</v>
      </c>
      <c r="O114" s="11" t="s">
        <v>490</v>
      </c>
      <c r="R114" s="17">
        <f>VLOOKUP("Amit*",B99:O149,3,FALSE)</f>
        <v>41</v>
      </c>
      <c r="S114" s="17" t="s">
        <v>637</v>
      </c>
    </row>
    <row r="115" spans="1:19" x14ac:dyDescent="0.4">
      <c r="A115" s="11" t="s">
        <v>534</v>
      </c>
      <c r="B115" s="11" t="s">
        <v>535</v>
      </c>
      <c r="C115" s="11" t="s">
        <v>176</v>
      </c>
      <c r="D115" s="10">
        <v>28</v>
      </c>
      <c r="E115" s="11" t="s">
        <v>141</v>
      </c>
      <c r="F115" s="11" t="s">
        <v>510</v>
      </c>
      <c r="G115" s="11" t="s">
        <v>536</v>
      </c>
      <c r="H115" s="10">
        <v>850</v>
      </c>
      <c r="I115" s="10">
        <v>4</v>
      </c>
      <c r="J115" s="12">
        <v>46065</v>
      </c>
      <c r="K115" s="11" t="s">
        <v>489</v>
      </c>
      <c r="L115" s="10">
        <v>175000</v>
      </c>
      <c r="M115" s="10">
        <v>3</v>
      </c>
      <c r="N115" s="10">
        <v>10.1</v>
      </c>
      <c r="O115" s="11" t="s">
        <v>490</v>
      </c>
    </row>
    <row r="116" spans="1:19" x14ac:dyDescent="0.4">
      <c r="A116" s="11" t="s">
        <v>537</v>
      </c>
      <c r="B116" s="11" t="s">
        <v>538</v>
      </c>
      <c r="C116" s="11" t="s">
        <v>224</v>
      </c>
      <c r="D116" s="10">
        <v>36</v>
      </c>
      <c r="E116" s="11" t="s">
        <v>136</v>
      </c>
      <c r="F116" s="11" t="s">
        <v>96</v>
      </c>
      <c r="G116" s="11" t="s">
        <v>539</v>
      </c>
      <c r="H116" s="10">
        <v>28000</v>
      </c>
      <c r="I116" s="10">
        <v>1</v>
      </c>
      <c r="J116" s="12">
        <v>46068</v>
      </c>
      <c r="K116" s="11" t="s">
        <v>494</v>
      </c>
      <c r="L116" s="10">
        <v>550000</v>
      </c>
      <c r="M116" s="10">
        <v>8</v>
      </c>
      <c r="N116" s="10">
        <v>8.6999999999999993</v>
      </c>
      <c r="O116" s="11" t="s">
        <v>490</v>
      </c>
    </row>
    <row r="117" spans="1:19" x14ac:dyDescent="0.4">
      <c r="A117" s="11" t="s">
        <v>540</v>
      </c>
      <c r="B117" s="11" t="s">
        <v>169</v>
      </c>
      <c r="C117" s="11" t="s">
        <v>154</v>
      </c>
      <c r="D117" s="10">
        <v>44</v>
      </c>
      <c r="E117" s="11" t="s">
        <v>141</v>
      </c>
      <c r="F117" s="11" t="s">
        <v>492</v>
      </c>
      <c r="G117" s="11" t="s">
        <v>541</v>
      </c>
      <c r="H117" s="10">
        <v>4200</v>
      </c>
      <c r="I117" s="10">
        <v>2</v>
      </c>
      <c r="J117" s="12">
        <v>46070</v>
      </c>
      <c r="K117" s="11" t="s">
        <v>497</v>
      </c>
      <c r="L117" s="10">
        <v>225000</v>
      </c>
      <c r="M117" s="10">
        <v>5</v>
      </c>
      <c r="N117" s="10">
        <v>9.8000000000000007</v>
      </c>
      <c r="O117" s="11" t="s">
        <v>490</v>
      </c>
    </row>
    <row r="118" spans="1:19" x14ac:dyDescent="0.4">
      <c r="A118" s="11" t="s">
        <v>542</v>
      </c>
      <c r="B118" s="11" t="s">
        <v>193</v>
      </c>
      <c r="C118" s="11" t="s">
        <v>139</v>
      </c>
      <c r="D118" s="10">
        <v>51</v>
      </c>
      <c r="E118" s="11" t="s">
        <v>136</v>
      </c>
      <c r="F118" s="11" t="s">
        <v>89</v>
      </c>
      <c r="G118" s="11" t="s">
        <v>543</v>
      </c>
      <c r="H118" s="10">
        <v>45000</v>
      </c>
      <c r="I118" s="10">
        <v>1</v>
      </c>
      <c r="J118" s="12">
        <v>46073</v>
      </c>
      <c r="K118" s="11" t="s">
        <v>489</v>
      </c>
      <c r="L118" s="10">
        <v>600000</v>
      </c>
      <c r="M118" s="10">
        <v>10</v>
      </c>
      <c r="N118" s="10">
        <v>8.5</v>
      </c>
      <c r="O118" s="11" t="s">
        <v>490</v>
      </c>
    </row>
    <row r="119" spans="1:19" x14ac:dyDescent="0.4">
      <c r="A119" s="11" t="s">
        <v>544</v>
      </c>
      <c r="B119" s="11" t="s">
        <v>545</v>
      </c>
      <c r="C119" s="11" t="s">
        <v>144</v>
      </c>
      <c r="D119" s="10">
        <v>25</v>
      </c>
      <c r="E119" s="11" t="s">
        <v>141</v>
      </c>
      <c r="F119" s="11" t="s">
        <v>520</v>
      </c>
      <c r="G119" s="11" t="s">
        <v>546</v>
      </c>
      <c r="H119" s="10">
        <v>3800</v>
      </c>
      <c r="I119" s="10">
        <v>3</v>
      </c>
      <c r="J119" s="12">
        <v>46075</v>
      </c>
      <c r="K119" s="11" t="s">
        <v>494</v>
      </c>
      <c r="L119" s="10">
        <v>90000</v>
      </c>
      <c r="M119" s="10">
        <v>2</v>
      </c>
      <c r="N119" s="10">
        <v>11.8</v>
      </c>
      <c r="O119" s="11" t="s">
        <v>500</v>
      </c>
    </row>
    <row r="120" spans="1:19" x14ac:dyDescent="0.4">
      <c r="A120" s="11" t="s">
        <v>547</v>
      </c>
      <c r="B120" s="11" t="s">
        <v>548</v>
      </c>
      <c r="C120" s="11" t="s">
        <v>502</v>
      </c>
      <c r="D120" s="10">
        <v>34</v>
      </c>
      <c r="E120" s="11" t="s">
        <v>136</v>
      </c>
      <c r="F120" s="11" t="s">
        <v>89</v>
      </c>
      <c r="G120" s="11" t="s">
        <v>92</v>
      </c>
      <c r="H120" s="10">
        <v>2500</v>
      </c>
      <c r="I120" s="10">
        <v>2</v>
      </c>
      <c r="J120" s="12">
        <v>46078</v>
      </c>
      <c r="K120" s="11" t="s">
        <v>489</v>
      </c>
      <c r="L120" s="10">
        <v>240000</v>
      </c>
      <c r="M120" s="10">
        <v>4</v>
      </c>
      <c r="N120" s="10">
        <v>10</v>
      </c>
      <c r="O120" s="11" t="s">
        <v>490</v>
      </c>
    </row>
    <row r="121" spans="1:19" x14ac:dyDescent="0.4">
      <c r="A121" s="11" t="s">
        <v>549</v>
      </c>
      <c r="B121" s="11" t="s">
        <v>198</v>
      </c>
      <c r="C121" s="11" t="s">
        <v>160</v>
      </c>
      <c r="D121" s="10">
        <v>29</v>
      </c>
      <c r="E121" s="11" t="s">
        <v>141</v>
      </c>
      <c r="F121" s="11" t="s">
        <v>492</v>
      </c>
      <c r="G121" s="11" t="s">
        <v>550</v>
      </c>
      <c r="H121" s="10">
        <v>2200</v>
      </c>
      <c r="I121" s="10">
        <v>2</v>
      </c>
      <c r="J121" s="12">
        <v>46080</v>
      </c>
      <c r="K121" s="11" t="s">
        <v>512</v>
      </c>
      <c r="L121" s="10">
        <v>130000</v>
      </c>
      <c r="M121" s="10">
        <v>3</v>
      </c>
      <c r="N121" s="10">
        <v>10.6</v>
      </c>
      <c r="O121" s="11" t="s">
        <v>490</v>
      </c>
    </row>
    <row r="122" spans="1:19" x14ac:dyDescent="0.4">
      <c r="A122" s="11" t="s">
        <v>551</v>
      </c>
      <c r="B122" s="11" t="s">
        <v>552</v>
      </c>
      <c r="C122" s="11" t="s">
        <v>139</v>
      </c>
      <c r="D122" s="10">
        <v>47</v>
      </c>
      <c r="E122" s="11" t="s">
        <v>136</v>
      </c>
      <c r="F122" s="11" t="s">
        <v>96</v>
      </c>
      <c r="G122" s="11" t="s">
        <v>553</v>
      </c>
      <c r="H122" s="10">
        <v>35000</v>
      </c>
      <c r="I122" s="10">
        <v>1</v>
      </c>
      <c r="J122" s="12">
        <v>46082</v>
      </c>
      <c r="K122" s="11" t="s">
        <v>497</v>
      </c>
      <c r="L122" s="10">
        <v>500000</v>
      </c>
      <c r="M122" s="10">
        <v>7</v>
      </c>
      <c r="N122" s="10">
        <v>9</v>
      </c>
      <c r="O122" s="11" t="s">
        <v>490</v>
      </c>
    </row>
    <row r="123" spans="1:19" x14ac:dyDescent="0.4">
      <c r="A123" s="11" t="s">
        <v>554</v>
      </c>
      <c r="B123" s="11" t="s">
        <v>555</v>
      </c>
      <c r="C123" s="11" t="s">
        <v>224</v>
      </c>
      <c r="D123" s="10">
        <v>23</v>
      </c>
      <c r="E123" s="11" t="s">
        <v>141</v>
      </c>
      <c r="F123" s="11" t="s">
        <v>506</v>
      </c>
      <c r="G123" s="11" t="s">
        <v>556</v>
      </c>
      <c r="H123" s="10">
        <v>2900</v>
      </c>
      <c r="I123" s="10">
        <v>2</v>
      </c>
      <c r="J123" s="12">
        <v>46084</v>
      </c>
      <c r="K123" s="11" t="s">
        <v>489</v>
      </c>
      <c r="L123" s="10">
        <v>70000</v>
      </c>
      <c r="M123" s="10">
        <v>2</v>
      </c>
      <c r="N123" s="10">
        <v>12.5</v>
      </c>
      <c r="O123" s="11" t="s">
        <v>500</v>
      </c>
    </row>
    <row r="124" spans="1:19" x14ac:dyDescent="0.4">
      <c r="A124" s="11" t="s">
        <v>557</v>
      </c>
      <c r="B124" s="11" t="s">
        <v>558</v>
      </c>
      <c r="C124" s="11" t="s">
        <v>172</v>
      </c>
      <c r="D124" s="10">
        <v>37</v>
      </c>
      <c r="E124" s="11" t="s">
        <v>136</v>
      </c>
      <c r="F124" s="11" t="s">
        <v>89</v>
      </c>
      <c r="G124" s="11" t="s">
        <v>559</v>
      </c>
      <c r="H124" s="10">
        <v>6500</v>
      </c>
      <c r="I124" s="10">
        <v>1</v>
      </c>
      <c r="J124" s="12">
        <v>46086</v>
      </c>
      <c r="K124" s="11" t="s">
        <v>494</v>
      </c>
      <c r="L124" s="10">
        <v>280000</v>
      </c>
      <c r="M124" s="10">
        <v>5</v>
      </c>
      <c r="N124" s="10">
        <v>9.4</v>
      </c>
      <c r="O124" s="11" t="s">
        <v>490</v>
      </c>
    </row>
    <row r="125" spans="1:19" x14ac:dyDescent="0.4">
      <c r="A125" s="11" t="s">
        <v>560</v>
      </c>
      <c r="B125" s="11" t="s">
        <v>561</v>
      </c>
      <c r="C125" s="11" t="s">
        <v>189</v>
      </c>
      <c r="D125" s="10">
        <v>33</v>
      </c>
      <c r="E125" s="11" t="s">
        <v>141</v>
      </c>
      <c r="F125" s="11" t="s">
        <v>510</v>
      </c>
      <c r="G125" s="11" t="s">
        <v>562</v>
      </c>
      <c r="H125" s="10">
        <v>1800</v>
      </c>
      <c r="I125" s="10">
        <v>3</v>
      </c>
      <c r="J125" s="12">
        <v>46088</v>
      </c>
      <c r="K125" s="11" t="s">
        <v>489</v>
      </c>
      <c r="L125" s="10">
        <v>190000</v>
      </c>
      <c r="M125" s="10">
        <v>4</v>
      </c>
      <c r="N125" s="10">
        <v>10.3</v>
      </c>
      <c r="O125" s="11" t="s">
        <v>490</v>
      </c>
    </row>
    <row r="126" spans="1:19" x14ac:dyDescent="0.4">
      <c r="A126" s="11" t="s">
        <v>563</v>
      </c>
      <c r="B126" s="11" t="s">
        <v>564</v>
      </c>
      <c r="C126" s="11" t="s">
        <v>192</v>
      </c>
      <c r="D126" s="10">
        <v>40</v>
      </c>
      <c r="E126" s="11" t="s">
        <v>136</v>
      </c>
      <c r="F126" s="11" t="s">
        <v>89</v>
      </c>
      <c r="G126" s="11" t="s">
        <v>565</v>
      </c>
      <c r="H126" s="10">
        <v>42000</v>
      </c>
      <c r="I126" s="10">
        <v>1</v>
      </c>
      <c r="J126" s="12">
        <v>46091</v>
      </c>
      <c r="K126" s="11" t="s">
        <v>497</v>
      </c>
      <c r="L126" s="10">
        <v>450000</v>
      </c>
      <c r="M126" s="10">
        <v>7</v>
      </c>
      <c r="N126" s="10">
        <v>8.9</v>
      </c>
      <c r="O126" s="11" t="s">
        <v>490</v>
      </c>
    </row>
    <row r="127" spans="1:19" x14ac:dyDescent="0.4">
      <c r="A127" s="11" t="s">
        <v>566</v>
      </c>
      <c r="B127" s="11" t="s">
        <v>567</v>
      </c>
      <c r="C127" s="11" t="s">
        <v>139</v>
      </c>
      <c r="D127" s="10">
        <v>27</v>
      </c>
      <c r="E127" s="11" t="s">
        <v>141</v>
      </c>
      <c r="F127" s="11" t="s">
        <v>492</v>
      </c>
      <c r="G127" s="11" t="s">
        <v>568</v>
      </c>
      <c r="H127" s="10">
        <v>3200</v>
      </c>
      <c r="I127" s="10">
        <v>2</v>
      </c>
      <c r="J127" s="12">
        <v>46093</v>
      </c>
      <c r="K127" s="11" t="s">
        <v>489</v>
      </c>
      <c r="L127" s="10">
        <v>110000</v>
      </c>
      <c r="M127" s="10">
        <v>2</v>
      </c>
      <c r="N127" s="10">
        <v>11</v>
      </c>
      <c r="O127" s="11" t="s">
        <v>490</v>
      </c>
    </row>
    <row r="128" spans="1:19" x14ac:dyDescent="0.4">
      <c r="A128" s="11" t="s">
        <v>569</v>
      </c>
      <c r="B128" s="11" t="s">
        <v>570</v>
      </c>
      <c r="C128" s="11" t="s">
        <v>150</v>
      </c>
      <c r="D128" s="10">
        <v>46</v>
      </c>
      <c r="E128" s="11" t="s">
        <v>136</v>
      </c>
      <c r="F128" s="11" t="s">
        <v>96</v>
      </c>
      <c r="G128" s="11" t="s">
        <v>571</v>
      </c>
      <c r="H128" s="10">
        <v>25000</v>
      </c>
      <c r="I128" s="10">
        <v>1</v>
      </c>
      <c r="J128" s="12">
        <v>46096</v>
      </c>
      <c r="K128" s="11" t="s">
        <v>494</v>
      </c>
      <c r="L128" s="10">
        <v>525000</v>
      </c>
      <c r="M128" s="10">
        <v>8</v>
      </c>
      <c r="N128" s="10">
        <v>8.6</v>
      </c>
      <c r="O128" s="11" t="s">
        <v>490</v>
      </c>
    </row>
    <row r="129" spans="1:15" x14ac:dyDescent="0.4">
      <c r="A129" s="11" t="s">
        <v>572</v>
      </c>
      <c r="B129" s="11" t="s">
        <v>573</v>
      </c>
      <c r="C129" s="11" t="s">
        <v>168</v>
      </c>
      <c r="D129" s="10">
        <v>31</v>
      </c>
      <c r="E129" s="11" t="s">
        <v>141</v>
      </c>
      <c r="F129" s="11" t="s">
        <v>506</v>
      </c>
      <c r="G129" s="11" t="s">
        <v>574</v>
      </c>
      <c r="H129" s="10">
        <v>950</v>
      </c>
      <c r="I129" s="10">
        <v>4</v>
      </c>
      <c r="J129" s="12">
        <v>46098</v>
      </c>
      <c r="K129" s="11" t="s">
        <v>489</v>
      </c>
      <c r="L129" s="10">
        <v>145000</v>
      </c>
      <c r="M129" s="10">
        <v>3</v>
      </c>
      <c r="N129" s="10">
        <v>10.8</v>
      </c>
      <c r="O129" s="11" t="s">
        <v>490</v>
      </c>
    </row>
    <row r="130" spans="1:15" x14ac:dyDescent="0.4">
      <c r="A130" s="11" t="s">
        <v>575</v>
      </c>
      <c r="B130" s="11" t="s">
        <v>576</v>
      </c>
      <c r="C130" s="11" t="s">
        <v>577</v>
      </c>
      <c r="D130" s="10">
        <v>35</v>
      </c>
      <c r="E130" s="11" t="s">
        <v>136</v>
      </c>
      <c r="F130" s="11" t="s">
        <v>89</v>
      </c>
      <c r="G130" s="11" t="s">
        <v>104</v>
      </c>
      <c r="H130" s="10">
        <v>12500</v>
      </c>
      <c r="I130" s="10">
        <v>1</v>
      </c>
      <c r="J130" s="12">
        <v>46101</v>
      </c>
      <c r="K130" s="11" t="s">
        <v>497</v>
      </c>
      <c r="L130" s="10">
        <v>260000</v>
      </c>
      <c r="M130" s="10">
        <v>5</v>
      </c>
      <c r="N130" s="10">
        <v>9.6999999999999993</v>
      </c>
      <c r="O130" s="11" t="s">
        <v>490</v>
      </c>
    </row>
    <row r="131" spans="1:15" x14ac:dyDescent="0.4">
      <c r="A131" s="11" t="s">
        <v>578</v>
      </c>
      <c r="B131" s="11" t="s">
        <v>579</v>
      </c>
      <c r="C131" s="11" t="s">
        <v>139</v>
      </c>
      <c r="D131" s="10">
        <v>26</v>
      </c>
      <c r="E131" s="11" t="s">
        <v>141</v>
      </c>
      <c r="F131" s="11" t="s">
        <v>492</v>
      </c>
      <c r="G131" s="11" t="s">
        <v>580</v>
      </c>
      <c r="H131" s="10">
        <v>1200</v>
      </c>
      <c r="I131" s="10">
        <v>3</v>
      </c>
      <c r="J131" s="12">
        <v>46103</v>
      </c>
      <c r="K131" s="11" t="s">
        <v>489</v>
      </c>
      <c r="L131" s="10">
        <v>95000</v>
      </c>
      <c r="M131" s="10">
        <v>2</v>
      </c>
      <c r="N131" s="10">
        <v>11.4</v>
      </c>
      <c r="O131" s="11" t="s">
        <v>500</v>
      </c>
    </row>
    <row r="132" spans="1:15" x14ac:dyDescent="0.4">
      <c r="A132" s="11" t="s">
        <v>581</v>
      </c>
      <c r="B132" s="11" t="s">
        <v>582</v>
      </c>
      <c r="C132" s="11" t="s">
        <v>185</v>
      </c>
      <c r="D132" s="10">
        <v>43</v>
      </c>
      <c r="E132" s="11" t="s">
        <v>136</v>
      </c>
      <c r="F132" s="11" t="s">
        <v>510</v>
      </c>
      <c r="G132" s="11" t="s">
        <v>583</v>
      </c>
      <c r="H132" s="10">
        <v>1600</v>
      </c>
      <c r="I132" s="10">
        <v>5</v>
      </c>
      <c r="J132" s="12">
        <v>46105</v>
      </c>
      <c r="K132" s="11" t="s">
        <v>512</v>
      </c>
      <c r="L132" s="10">
        <v>375000</v>
      </c>
      <c r="M132" s="10">
        <v>6</v>
      </c>
      <c r="N132" s="10">
        <v>9.1</v>
      </c>
      <c r="O132" s="11" t="s">
        <v>490</v>
      </c>
    </row>
    <row r="133" spans="1:15" x14ac:dyDescent="0.4">
      <c r="A133" s="11" t="s">
        <v>584</v>
      </c>
      <c r="B133" s="11" t="s">
        <v>585</v>
      </c>
      <c r="C133" s="11" t="s">
        <v>224</v>
      </c>
      <c r="D133" s="10">
        <v>30</v>
      </c>
      <c r="E133" s="11" t="s">
        <v>141</v>
      </c>
      <c r="F133" s="11" t="s">
        <v>520</v>
      </c>
      <c r="G133" s="11" t="s">
        <v>586</v>
      </c>
      <c r="H133" s="10">
        <v>8500</v>
      </c>
      <c r="I133" s="10">
        <v>1</v>
      </c>
      <c r="J133" s="12">
        <v>46107</v>
      </c>
      <c r="K133" s="11" t="s">
        <v>494</v>
      </c>
      <c r="L133" s="10">
        <v>210000</v>
      </c>
      <c r="M133" s="10">
        <v>4</v>
      </c>
      <c r="N133" s="10">
        <v>10</v>
      </c>
      <c r="O133" s="11" t="s">
        <v>490</v>
      </c>
    </row>
    <row r="134" spans="1:15" x14ac:dyDescent="0.4">
      <c r="A134" s="11" t="s">
        <v>587</v>
      </c>
      <c r="B134" s="11" t="s">
        <v>588</v>
      </c>
      <c r="C134" s="11" t="s">
        <v>139</v>
      </c>
      <c r="D134" s="10">
        <v>49</v>
      </c>
      <c r="E134" s="11" t="s">
        <v>136</v>
      </c>
      <c r="F134" s="11" t="s">
        <v>89</v>
      </c>
      <c r="G134" s="11" t="s">
        <v>589</v>
      </c>
      <c r="H134" s="10">
        <v>30000</v>
      </c>
      <c r="I134" s="10">
        <v>1</v>
      </c>
      <c r="J134" s="12">
        <v>46109</v>
      </c>
      <c r="K134" s="11" t="s">
        <v>489</v>
      </c>
      <c r="L134" s="10">
        <v>650000</v>
      </c>
      <c r="M134" s="10">
        <v>10</v>
      </c>
      <c r="N134" s="10">
        <v>8.4</v>
      </c>
      <c r="O134" s="11" t="s">
        <v>490</v>
      </c>
    </row>
    <row r="135" spans="1:15" x14ac:dyDescent="0.4">
      <c r="A135" s="11" t="s">
        <v>590</v>
      </c>
      <c r="B135" s="11" t="s">
        <v>591</v>
      </c>
      <c r="C135" s="11" t="s">
        <v>172</v>
      </c>
      <c r="D135" s="10">
        <v>28</v>
      </c>
      <c r="E135" s="11" t="s">
        <v>141</v>
      </c>
      <c r="F135" s="11" t="s">
        <v>492</v>
      </c>
      <c r="G135" s="11" t="s">
        <v>592</v>
      </c>
      <c r="H135" s="10">
        <v>4500</v>
      </c>
      <c r="I135" s="10">
        <v>1</v>
      </c>
      <c r="J135" s="12">
        <v>46111</v>
      </c>
      <c r="K135" s="11" t="s">
        <v>489</v>
      </c>
      <c r="L135" s="10">
        <v>125000</v>
      </c>
      <c r="M135" s="10">
        <v>3</v>
      </c>
      <c r="N135" s="10">
        <v>10.7</v>
      </c>
      <c r="O135" s="11" t="s">
        <v>490</v>
      </c>
    </row>
    <row r="136" spans="1:15" x14ac:dyDescent="0.4">
      <c r="A136" s="11" t="s">
        <v>593</v>
      </c>
      <c r="B136" s="11" t="s">
        <v>594</v>
      </c>
      <c r="C136" s="11" t="s">
        <v>502</v>
      </c>
      <c r="D136" s="10">
        <v>52</v>
      </c>
      <c r="E136" s="11" t="s">
        <v>136</v>
      </c>
      <c r="F136" s="11" t="s">
        <v>96</v>
      </c>
      <c r="G136" s="11" t="s">
        <v>595</v>
      </c>
      <c r="H136" s="10">
        <v>32000</v>
      </c>
      <c r="I136" s="10">
        <v>1</v>
      </c>
      <c r="J136" s="12">
        <v>46114</v>
      </c>
      <c r="K136" s="11" t="s">
        <v>497</v>
      </c>
      <c r="L136" s="10">
        <v>700000</v>
      </c>
      <c r="M136" s="10">
        <v>10</v>
      </c>
      <c r="N136" s="10">
        <v>8.3000000000000007</v>
      </c>
      <c r="O136" s="11" t="s">
        <v>490</v>
      </c>
    </row>
    <row r="137" spans="1:15" x14ac:dyDescent="0.4">
      <c r="A137" s="11" t="s">
        <v>596</v>
      </c>
      <c r="B137" s="11" t="s">
        <v>597</v>
      </c>
      <c r="C137" s="11" t="s">
        <v>577</v>
      </c>
      <c r="D137" s="10">
        <v>25</v>
      </c>
      <c r="E137" s="11" t="s">
        <v>141</v>
      </c>
      <c r="F137" s="11" t="s">
        <v>506</v>
      </c>
      <c r="G137" s="11" t="s">
        <v>598</v>
      </c>
      <c r="H137" s="10">
        <v>750</v>
      </c>
      <c r="I137" s="10">
        <v>5</v>
      </c>
      <c r="J137" s="12">
        <v>46116</v>
      </c>
      <c r="K137" s="11" t="s">
        <v>494</v>
      </c>
      <c r="L137" s="10">
        <v>60000</v>
      </c>
      <c r="M137" s="10">
        <v>2</v>
      </c>
      <c r="N137" s="10">
        <v>12.8</v>
      </c>
      <c r="O137" s="11" t="s">
        <v>500</v>
      </c>
    </row>
    <row r="138" spans="1:15" x14ac:dyDescent="0.4">
      <c r="A138" s="11" t="s">
        <v>599</v>
      </c>
      <c r="B138" s="11" t="s">
        <v>600</v>
      </c>
      <c r="C138" s="11" t="s">
        <v>192</v>
      </c>
      <c r="D138" s="10">
        <v>36</v>
      </c>
      <c r="E138" s="11" t="s">
        <v>136</v>
      </c>
      <c r="F138" s="11" t="s">
        <v>89</v>
      </c>
      <c r="G138" s="11" t="s">
        <v>601</v>
      </c>
      <c r="H138" s="10">
        <v>38000</v>
      </c>
      <c r="I138" s="10">
        <v>1</v>
      </c>
      <c r="J138" s="12">
        <v>46118</v>
      </c>
      <c r="K138" s="11" t="s">
        <v>489</v>
      </c>
      <c r="L138" s="10">
        <v>325000</v>
      </c>
      <c r="M138" s="10">
        <v>5</v>
      </c>
      <c r="N138" s="10">
        <v>9.5</v>
      </c>
      <c r="O138" s="11" t="s">
        <v>490</v>
      </c>
    </row>
    <row r="139" spans="1:15" x14ac:dyDescent="0.4">
      <c r="A139" s="11" t="s">
        <v>602</v>
      </c>
      <c r="B139" s="11" t="s">
        <v>603</v>
      </c>
      <c r="C139" s="11" t="s">
        <v>154</v>
      </c>
      <c r="D139" s="10">
        <v>32</v>
      </c>
      <c r="E139" s="11" t="s">
        <v>141</v>
      </c>
      <c r="F139" s="11" t="s">
        <v>510</v>
      </c>
      <c r="G139" s="11" t="s">
        <v>604</v>
      </c>
      <c r="H139" s="10">
        <v>650</v>
      </c>
      <c r="I139" s="10">
        <v>6</v>
      </c>
      <c r="J139" s="12">
        <v>46120</v>
      </c>
      <c r="K139" s="11" t="s">
        <v>489</v>
      </c>
      <c r="L139" s="10">
        <v>155000</v>
      </c>
      <c r="M139" s="10">
        <v>3</v>
      </c>
      <c r="N139" s="10">
        <v>10.199999999999999</v>
      </c>
      <c r="O139" s="11" t="s">
        <v>490</v>
      </c>
    </row>
    <row r="140" spans="1:15" x14ac:dyDescent="0.4">
      <c r="A140" s="11" t="s">
        <v>605</v>
      </c>
      <c r="B140" s="11" t="s">
        <v>606</v>
      </c>
      <c r="C140" s="11" t="s">
        <v>139</v>
      </c>
      <c r="D140" s="10">
        <v>29</v>
      </c>
      <c r="E140" s="11" t="s">
        <v>141</v>
      </c>
      <c r="F140" s="11" t="s">
        <v>89</v>
      </c>
      <c r="G140" s="11" t="s">
        <v>607</v>
      </c>
      <c r="H140" s="10">
        <v>2200</v>
      </c>
      <c r="I140" s="10">
        <v>2</v>
      </c>
      <c r="J140" s="12">
        <v>46122</v>
      </c>
      <c r="K140" s="11" t="s">
        <v>494</v>
      </c>
      <c r="L140" s="10">
        <v>100000</v>
      </c>
      <c r="M140" s="10">
        <v>2</v>
      </c>
      <c r="N140" s="10">
        <v>11.6</v>
      </c>
      <c r="O140" s="11" t="s">
        <v>490</v>
      </c>
    </row>
    <row r="141" spans="1:15" x14ac:dyDescent="0.4">
      <c r="A141" s="11" t="s">
        <v>608</v>
      </c>
      <c r="B141" s="11" t="s">
        <v>609</v>
      </c>
      <c r="C141" s="11" t="s">
        <v>168</v>
      </c>
      <c r="D141" s="10">
        <v>45</v>
      </c>
      <c r="E141" s="11" t="s">
        <v>136</v>
      </c>
      <c r="F141" s="11" t="s">
        <v>96</v>
      </c>
      <c r="G141" s="11" t="s">
        <v>95</v>
      </c>
      <c r="H141" s="10">
        <v>7500</v>
      </c>
      <c r="I141" s="10">
        <v>2</v>
      </c>
      <c r="J141" s="12">
        <v>46124</v>
      </c>
      <c r="K141" s="11" t="s">
        <v>497</v>
      </c>
      <c r="L141" s="10">
        <v>420000</v>
      </c>
      <c r="M141" s="10">
        <v>6</v>
      </c>
      <c r="N141" s="10">
        <v>9</v>
      </c>
      <c r="O141" s="11" t="s">
        <v>490</v>
      </c>
    </row>
    <row r="142" spans="1:15" x14ac:dyDescent="0.4">
      <c r="A142" s="11" t="s">
        <v>610</v>
      </c>
      <c r="B142" s="11" t="s">
        <v>611</v>
      </c>
      <c r="C142" s="11" t="s">
        <v>224</v>
      </c>
      <c r="D142" s="10">
        <v>34</v>
      </c>
      <c r="E142" s="11" t="s">
        <v>141</v>
      </c>
      <c r="F142" s="11" t="s">
        <v>492</v>
      </c>
      <c r="G142" s="11" t="s">
        <v>612</v>
      </c>
      <c r="H142" s="10">
        <v>1800</v>
      </c>
      <c r="I142" s="10">
        <v>3</v>
      </c>
      <c r="J142" s="12">
        <v>46127</v>
      </c>
      <c r="K142" s="11" t="s">
        <v>489</v>
      </c>
      <c r="L142" s="10">
        <v>140000</v>
      </c>
      <c r="M142" s="10">
        <v>3</v>
      </c>
      <c r="N142" s="10">
        <v>10.5</v>
      </c>
      <c r="O142" s="11" t="s">
        <v>490</v>
      </c>
    </row>
    <row r="143" spans="1:15" x14ac:dyDescent="0.4">
      <c r="A143" s="11" t="s">
        <v>613</v>
      </c>
      <c r="B143" s="11" t="s">
        <v>614</v>
      </c>
      <c r="C143" s="11" t="s">
        <v>139</v>
      </c>
      <c r="D143" s="10">
        <v>55</v>
      </c>
      <c r="E143" s="11" t="s">
        <v>136</v>
      </c>
      <c r="F143" s="11" t="s">
        <v>89</v>
      </c>
      <c r="G143" s="11" t="s">
        <v>533</v>
      </c>
      <c r="H143" s="10">
        <v>35000</v>
      </c>
      <c r="I143" s="10">
        <v>1</v>
      </c>
      <c r="J143" s="12">
        <v>46129</v>
      </c>
      <c r="K143" s="11" t="s">
        <v>512</v>
      </c>
      <c r="L143" s="10">
        <v>800000</v>
      </c>
      <c r="M143" s="10">
        <v>10</v>
      </c>
      <c r="N143" s="10">
        <v>8.1999999999999993</v>
      </c>
      <c r="O143" s="11" t="s">
        <v>490</v>
      </c>
    </row>
    <row r="144" spans="1:15" x14ac:dyDescent="0.4">
      <c r="A144" s="11" t="s">
        <v>615</v>
      </c>
      <c r="B144" s="11" t="s">
        <v>616</v>
      </c>
      <c r="C144" s="11" t="s">
        <v>144</v>
      </c>
      <c r="D144" s="10">
        <v>27</v>
      </c>
      <c r="E144" s="11" t="s">
        <v>141</v>
      </c>
      <c r="F144" s="11" t="s">
        <v>520</v>
      </c>
      <c r="G144" s="11" t="s">
        <v>617</v>
      </c>
      <c r="H144" s="10">
        <v>9500</v>
      </c>
      <c r="I144" s="10">
        <v>1</v>
      </c>
      <c r="J144" s="12">
        <v>46131</v>
      </c>
      <c r="K144" s="11" t="s">
        <v>494</v>
      </c>
      <c r="L144" s="10">
        <v>115000</v>
      </c>
      <c r="M144" s="10">
        <v>2</v>
      </c>
      <c r="N144" s="10">
        <v>11.1</v>
      </c>
      <c r="O144" s="11" t="s">
        <v>500</v>
      </c>
    </row>
    <row r="145" spans="1:15" x14ac:dyDescent="0.4">
      <c r="A145" s="11" t="s">
        <v>618</v>
      </c>
      <c r="B145" s="11" t="s">
        <v>619</v>
      </c>
      <c r="C145" s="11" t="s">
        <v>172</v>
      </c>
      <c r="D145" s="10">
        <v>39</v>
      </c>
      <c r="E145" s="11" t="s">
        <v>136</v>
      </c>
      <c r="F145" s="11" t="s">
        <v>89</v>
      </c>
      <c r="G145" s="11" t="s">
        <v>620</v>
      </c>
      <c r="H145" s="10">
        <v>5500</v>
      </c>
      <c r="I145" s="10">
        <v>2</v>
      </c>
      <c r="J145" s="12">
        <v>46133</v>
      </c>
      <c r="K145" s="11" t="s">
        <v>489</v>
      </c>
      <c r="L145" s="10">
        <v>275000</v>
      </c>
      <c r="M145" s="10">
        <v>5</v>
      </c>
      <c r="N145" s="10">
        <v>9.6</v>
      </c>
      <c r="O145" s="11" t="s">
        <v>490</v>
      </c>
    </row>
    <row r="146" spans="1:15" x14ac:dyDescent="0.4">
      <c r="A146" s="11" t="s">
        <v>621</v>
      </c>
      <c r="B146" s="11" t="s">
        <v>622</v>
      </c>
      <c r="C146" s="11" t="s">
        <v>139</v>
      </c>
      <c r="D146" s="10">
        <v>42</v>
      </c>
      <c r="E146" s="11" t="s">
        <v>141</v>
      </c>
      <c r="F146" s="11" t="s">
        <v>492</v>
      </c>
      <c r="G146" s="11" t="s">
        <v>623</v>
      </c>
      <c r="H146" s="10">
        <v>2100</v>
      </c>
      <c r="I146" s="10">
        <v>2</v>
      </c>
      <c r="J146" s="12">
        <v>46135</v>
      </c>
      <c r="K146" s="11" t="s">
        <v>497</v>
      </c>
      <c r="L146" s="10">
        <v>180000</v>
      </c>
      <c r="M146" s="10">
        <v>4</v>
      </c>
      <c r="N146" s="10">
        <v>10</v>
      </c>
      <c r="O146" s="11" t="s">
        <v>490</v>
      </c>
    </row>
    <row r="147" spans="1:15" x14ac:dyDescent="0.4">
      <c r="A147" s="11" t="s">
        <v>624</v>
      </c>
      <c r="B147" s="11" t="s">
        <v>625</v>
      </c>
      <c r="C147" s="11" t="s">
        <v>502</v>
      </c>
      <c r="D147" s="10">
        <v>48</v>
      </c>
      <c r="E147" s="11" t="s">
        <v>136</v>
      </c>
      <c r="F147" s="11" t="s">
        <v>96</v>
      </c>
      <c r="G147" s="11" t="s">
        <v>110</v>
      </c>
      <c r="H147" s="10">
        <v>11000</v>
      </c>
      <c r="I147" s="10">
        <v>1</v>
      </c>
      <c r="J147" s="12">
        <v>46137</v>
      </c>
      <c r="K147" s="11" t="s">
        <v>489</v>
      </c>
      <c r="L147" s="10">
        <v>475000</v>
      </c>
      <c r="M147" s="10">
        <v>7</v>
      </c>
      <c r="N147" s="10">
        <v>8.8000000000000007</v>
      </c>
      <c r="O147" s="11" t="s">
        <v>490</v>
      </c>
    </row>
    <row r="148" spans="1:15" x14ac:dyDescent="0.4">
      <c r="A148" s="11" t="s">
        <v>626</v>
      </c>
      <c r="B148" s="11" t="s">
        <v>627</v>
      </c>
      <c r="C148" s="11" t="s">
        <v>154</v>
      </c>
      <c r="D148" s="10">
        <v>30</v>
      </c>
      <c r="E148" s="11" t="s">
        <v>141</v>
      </c>
      <c r="F148" s="11" t="s">
        <v>506</v>
      </c>
      <c r="G148" s="11" t="s">
        <v>628</v>
      </c>
      <c r="H148" s="10">
        <v>900</v>
      </c>
      <c r="I148" s="10">
        <v>4</v>
      </c>
      <c r="J148" s="12">
        <v>46139</v>
      </c>
      <c r="K148" s="11" t="s">
        <v>494</v>
      </c>
      <c r="L148" s="10">
        <v>105000</v>
      </c>
      <c r="M148" s="10">
        <v>2</v>
      </c>
      <c r="N148" s="10">
        <v>11.3</v>
      </c>
      <c r="O148" s="11" t="s">
        <v>490</v>
      </c>
    </row>
    <row r="149" spans="1:15" x14ac:dyDescent="0.4">
      <c r="A149" s="11" t="s">
        <v>629</v>
      </c>
      <c r="B149" s="11" t="s">
        <v>630</v>
      </c>
      <c r="C149" s="11" t="s">
        <v>139</v>
      </c>
      <c r="D149" s="10">
        <v>37</v>
      </c>
      <c r="E149" s="11" t="s">
        <v>136</v>
      </c>
      <c r="F149" s="11" t="s">
        <v>89</v>
      </c>
      <c r="G149" s="11" t="s">
        <v>88</v>
      </c>
      <c r="H149" s="10">
        <v>62000</v>
      </c>
      <c r="I149" s="10">
        <v>1</v>
      </c>
      <c r="J149" s="12">
        <v>46142</v>
      </c>
      <c r="K149" s="11" t="s">
        <v>489</v>
      </c>
      <c r="L149" s="10">
        <v>350000</v>
      </c>
      <c r="M149" s="10">
        <v>5</v>
      </c>
      <c r="N149" s="10">
        <v>9.3000000000000007</v>
      </c>
      <c r="O149" s="11" t="s">
        <v>490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70748-3B01-48FD-A307-83956B295287}">
  <dimension ref="A1:AT74"/>
  <sheetViews>
    <sheetView topLeftCell="AI1" workbookViewId="0">
      <selection activeCell="AN9" sqref="AN9"/>
    </sheetView>
  </sheetViews>
  <sheetFormatPr defaultRowHeight="14.6" x14ac:dyDescent="0.4"/>
  <cols>
    <col min="1" max="1" width="11.23046875" bestFit="1" customWidth="1"/>
    <col min="2" max="2" width="14.23046875" bestFit="1" customWidth="1"/>
    <col min="3" max="3" width="10.07421875" bestFit="1" customWidth="1"/>
    <col min="4" max="4" width="9.3828125" bestFit="1" customWidth="1"/>
    <col min="5" max="5" width="6.69140625" bestFit="1" customWidth="1"/>
    <col min="6" max="6" width="15.07421875" bestFit="1" customWidth="1"/>
    <col min="7" max="7" width="14.84375" bestFit="1" customWidth="1"/>
    <col min="8" max="8" width="5.84375" bestFit="1" customWidth="1"/>
    <col min="9" max="9" width="7.23046875" bestFit="1" customWidth="1"/>
    <col min="10" max="10" width="10.15234375" bestFit="1" customWidth="1"/>
    <col min="11" max="11" width="13.07421875" bestFit="1" customWidth="1"/>
    <col min="12" max="12" width="11.61328125" bestFit="1" customWidth="1"/>
    <col min="13" max="13" width="11.3046875" bestFit="1" customWidth="1"/>
    <col min="14" max="14" width="11.4609375" bestFit="1" customWidth="1"/>
    <col min="15" max="15" width="10.69140625" bestFit="1" customWidth="1"/>
    <col min="16" max="16" width="12.765625" bestFit="1" customWidth="1"/>
    <col min="17" max="17" width="14" bestFit="1" customWidth="1"/>
    <col min="18" max="36" width="14" customWidth="1"/>
    <col min="37" max="37" width="16.53515625" bestFit="1" customWidth="1"/>
    <col min="38" max="39" width="14" customWidth="1"/>
    <col min="40" max="40" width="14.23046875" bestFit="1" customWidth="1"/>
    <col min="41" max="43" width="14" customWidth="1"/>
    <col min="44" max="44" width="16.23046875" bestFit="1" customWidth="1"/>
    <col min="45" max="45" width="12.4609375" bestFit="1" customWidth="1"/>
    <col min="46" max="46" width="11.15234375" bestFit="1" customWidth="1"/>
  </cols>
  <sheetData>
    <row r="1" spans="1:46" x14ac:dyDescent="0.4">
      <c r="AS1" t="s">
        <v>634</v>
      </c>
      <c r="AT1" t="s">
        <v>635</v>
      </c>
    </row>
    <row r="2" spans="1:46" x14ac:dyDescent="0.4">
      <c r="A2" s="11" t="s">
        <v>476</v>
      </c>
      <c r="B2" s="11" t="s">
        <v>477</v>
      </c>
      <c r="C2" s="11" t="s">
        <v>132</v>
      </c>
      <c r="D2" s="11" t="s">
        <v>126</v>
      </c>
      <c r="E2" s="11" t="s">
        <v>127</v>
      </c>
      <c r="F2" s="11" t="s">
        <v>478</v>
      </c>
      <c r="G2" s="11" t="s">
        <v>479</v>
      </c>
      <c r="H2" s="11" t="s">
        <v>480</v>
      </c>
      <c r="I2" s="11" t="s">
        <v>481</v>
      </c>
      <c r="J2" s="11" t="s">
        <v>482</v>
      </c>
      <c r="K2" s="11" t="s">
        <v>483</v>
      </c>
      <c r="L2" s="11" t="s">
        <v>484</v>
      </c>
      <c r="M2" s="11" t="s">
        <v>485</v>
      </c>
      <c r="N2" s="11" t="s">
        <v>486</v>
      </c>
      <c r="O2" s="11" t="s">
        <v>487</v>
      </c>
      <c r="P2" s="30" t="s">
        <v>643</v>
      </c>
      <c r="Q2" s="30" t="s">
        <v>641</v>
      </c>
      <c r="R2" s="30" t="s">
        <v>642</v>
      </c>
      <c r="S2" s="30" t="s">
        <v>644</v>
      </c>
      <c r="T2" s="30" t="s">
        <v>645</v>
      </c>
      <c r="U2" s="30" t="s">
        <v>646</v>
      </c>
      <c r="V2" s="30" t="s">
        <v>647</v>
      </c>
      <c r="W2" s="30" t="s">
        <v>648</v>
      </c>
      <c r="X2" s="30" t="s">
        <v>658</v>
      </c>
      <c r="Y2" s="30" t="s">
        <v>659</v>
      </c>
      <c r="Z2" s="30" t="s">
        <v>666</v>
      </c>
      <c r="AA2" s="11"/>
      <c r="AB2" s="30" t="s">
        <v>668</v>
      </c>
      <c r="AC2" s="30" t="s">
        <v>669</v>
      </c>
      <c r="AD2" s="30" t="s">
        <v>670</v>
      </c>
      <c r="AE2" s="30" t="s">
        <v>674</v>
      </c>
      <c r="AF2" s="30"/>
      <c r="AG2" s="30" t="s">
        <v>675</v>
      </c>
      <c r="AH2" s="11"/>
      <c r="AI2" s="30" t="s">
        <v>677</v>
      </c>
      <c r="AJ2" s="30" t="s">
        <v>678</v>
      </c>
      <c r="AK2" s="30" t="s">
        <v>679</v>
      </c>
      <c r="AL2" s="30" t="s">
        <v>680</v>
      </c>
      <c r="AM2" s="30" t="s">
        <v>681</v>
      </c>
      <c r="AN2" s="30" t="s">
        <v>682</v>
      </c>
      <c r="AO2" s="30" t="s">
        <v>683</v>
      </c>
      <c r="AP2" s="30"/>
      <c r="AQ2" s="30"/>
      <c r="AR2" s="11" t="s">
        <v>631</v>
      </c>
      <c r="AS2" s="11" t="s">
        <v>632</v>
      </c>
      <c r="AT2" s="11" t="s">
        <v>633</v>
      </c>
    </row>
    <row r="3" spans="1:46" x14ac:dyDescent="0.4">
      <c r="A3" s="11" t="s">
        <v>488</v>
      </c>
      <c r="B3" s="11" t="s">
        <v>135</v>
      </c>
      <c r="C3" s="11" t="s">
        <v>139</v>
      </c>
      <c r="D3" s="10">
        <v>28</v>
      </c>
      <c r="E3" s="11" t="s">
        <v>136</v>
      </c>
      <c r="F3" s="11" t="s">
        <v>89</v>
      </c>
      <c r="G3" s="11" t="s">
        <v>88</v>
      </c>
      <c r="H3" s="10">
        <v>55000</v>
      </c>
      <c r="I3" s="10">
        <v>1</v>
      </c>
      <c r="J3" s="12">
        <v>46027</v>
      </c>
      <c r="K3" s="11" t="s">
        <v>489</v>
      </c>
      <c r="L3" s="10">
        <v>300000</v>
      </c>
      <c r="M3" s="10">
        <v>5</v>
      </c>
      <c r="N3" s="10">
        <v>9.5</v>
      </c>
      <c r="O3" s="11" t="s">
        <v>490</v>
      </c>
      <c r="P3" s="17" t="str">
        <f>LOWER(B3)</f>
        <v>rahul sharma</v>
      </c>
      <c r="Q3" s="17" t="str">
        <f>UPPER(B3)</f>
        <v>RAHUL SHARMA</v>
      </c>
      <c r="R3" s="17" t="str">
        <f>+PROPER(B3)</f>
        <v>Rahul Sharma</v>
      </c>
      <c r="S3" s="17" t="str">
        <f>LEFT(B3,5)</f>
        <v>Rahul</v>
      </c>
      <c r="T3" s="17" t="str">
        <f>RIGHT(B3,6)</f>
        <v>Sharma</v>
      </c>
      <c r="U3" s="17">
        <f>LEN(B3)</f>
        <v>12</v>
      </c>
      <c r="V3" s="17" t="str">
        <f>TRIM(B3)</f>
        <v>Rahul Sharma</v>
      </c>
      <c r="W3" s="17">
        <f>LEN(V3)</f>
        <v>12</v>
      </c>
      <c r="X3" s="17" t="str">
        <f>MID(V3,7,3)</f>
        <v>Sha</v>
      </c>
      <c r="Y3" s="17">
        <f>FIND("Sh",V3)</f>
        <v>7</v>
      </c>
      <c r="Z3" s="17">
        <f>SEARCH("Sh",V3,5)</f>
        <v>7</v>
      </c>
      <c r="AA3" s="35">
        <v>55000.349000000002</v>
      </c>
      <c r="AB3" s="39">
        <f>ROUND(AA3,2)</f>
        <v>55000.35</v>
      </c>
      <c r="AC3" s="39">
        <f>ROUNDUP(AA3,2)</f>
        <v>55000.35</v>
      </c>
      <c r="AD3" s="17"/>
      <c r="AE3" s="17">
        <f>MOD(9,2)</f>
        <v>1</v>
      </c>
      <c r="AF3" s="17"/>
      <c r="AG3" s="17">
        <f>ABS(-69)</f>
        <v>69</v>
      </c>
      <c r="AH3" s="35">
        <v>55000.349000000002</v>
      </c>
      <c r="AI3" s="41">
        <f>INT(AH3)</f>
        <v>55000</v>
      </c>
      <c r="AJ3" s="41">
        <f>PRODUCT(4,5)</f>
        <v>20</v>
      </c>
      <c r="AK3" s="43">
        <f ca="1">NOW()</f>
        <v>46278.695072800925</v>
      </c>
      <c r="AL3" s="42">
        <f ca="1">TODAY()</f>
        <v>46278</v>
      </c>
      <c r="AM3" s="41">
        <f ca="1">MONTH(AL3)</f>
        <v>9</v>
      </c>
      <c r="AN3" s="41">
        <f ca="1">DAY(AL3)</f>
        <v>13</v>
      </c>
      <c r="AO3" s="41">
        <f ca="1">YEAR(AL3)</f>
        <v>2026</v>
      </c>
      <c r="AP3" s="41"/>
      <c r="AQ3" s="41"/>
      <c r="AR3" s="11" t="s">
        <v>518</v>
      </c>
      <c r="AS3" t="e">
        <f>VLOOKUP(AR3,K2:K52,11,FALSE)</f>
        <v>#N/A</v>
      </c>
      <c r="AT3" t="e">
        <f t="shared" ref="AT3:AT13" si="0">INDEX($L$100:$L$150,MATCH(AR3,$A$100:$A$150,FALSE))</f>
        <v>#N/A</v>
      </c>
    </row>
    <row r="4" spans="1:46" ht="14.6" customHeight="1" x14ac:dyDescent="0.4">
      <c r="A4" s="11" t="s">
        <v>491</v>
      </c>
      <c r="B4" s="11" t="s">
        <v>140</v>
      </c>
      <c r="C4" s="11" t="s">
        <v>144</v>
      </c>
      <c r="D4" s="10">
        <v>32</v>
      </c>
      <c r="E4" s="11" t="s">
        <v>141</v>
      </c>
      <c r="F4" s="11" t="s">
        <v>492</v>
      </c>
      <c r="G4" s="11" t="s">
        <v>493</v>
      </c>
      <c r="H4" s="10">
        <v>2500</v>
      </c>
      <c r="I4" s="10">
        <v>2</v>
      </c>
      <c r="J4" s="12">
        <v>46029</v>
      </c>
      <c r="K4" s="11" t="s">
        <v>494</v>
      </c>
      <c r="L4" s="10">
        <v>150000</v>
      </c>
      <c r="M4" s="10">
        <v>3</v>
      </c>
      <c r="N4" s="10">
        <v>10.199999999999999</v>
      </c>
      <c r="O4" s="11" t="s">
        <v>490</v>
      </c>
      <c r="P4" t="str">
        <f t="shared" ref="P4:P52" si="1">LOWER(B4)</f>
        <v>priya verma</v>
      </c>
      <c r="Q4" s="31" t="str">
        <f t="shared" ref="Q4:Q52" si="2">UPPER(B4)</f>
        <v>PRIYA VERMA</v>
      </c>
      <c r="R4" s="31" t="str">
        <f t="shared" ref="R4:R52" si="3">+PROPER(B4)</f>
        <v>Priya Verma</v>
      </c>
      <c r="S4" s="31"/>
      <c r="T4" s="31"/>
      <c r="U4" s="31"/>
      <c r="V4" s="31"/>
      <c r="W4" s="31"/>
      <c r="X4" s="31"/>
      <c r="Y4" s="31">
        <f>FIND("r",V3,3)</f>
        <v>10</v>
      </c>
      <c r="Z4" s="31"/>
      <c r="AA4" s="35">
        <v>2500.2530000000002</v>
      </c>
      <c r="AB4" s="31"/>
      <c r="AC4" s="31"/>
      <c r="AD4" s="31"/>
      <c r="AE4" s="67" t="s">
        <v>676</v>
      </c>
      <c r="AF4" s="31"/>
      <c r="AG4" s="17">
        <f>ABS(29)</f>
        <v>29</v>
      </c>
      <c r="AH4" s="35">
        <v>-2500.2530000000002</v>
      </c>
      <c r="AI4" s="41">
        <f>INT(AH4)</f>
        <v>-2501</v>
      </c>
      <c r="AJ4" s="41">
        <f>PRODUCT(4,5,3)</f>
        <v>60</v>
      </c>
      <c r="AK4" s="41"/>
      <c r="AL4" s="41"/>
      <c r="AM4" s="41"/>
      <c r="AN4" s="41"/>
      <c r="AO4" s="41"/>
      <c r="AP4" s="41"/>
      <c r="AQ4" s="41"/>
      <c r="AR4" s="11" t="s">
        <v>522</v>
      </c>
      <c r="AS4" t="e">
        <f t="shared" ref="AS4:AS13" si="4">VLOOKUP(AR4,$A$100:$O$150,11,FALSE)</f>
        <v>#N/A</v>
      </c>
      <c r="AT4" t="e">
        <f t="shared" si="0"/>
        <v>#N/A</v>
      </c>
    </row>
    <row r="5" spans="1:46" x14ac:dyDescent="0.4">
      <c r="A5" s="11" t="s">
        <v>495</v>
      </c>
      <c r="B5" s="11" t="s">
        <v>145</v>
      </c>
      <c r="C5" s="11" t="s">
        <v>139</v>
      </c>
      <c r="D5" s="10">
        <v>41</v>
      </c>
      <c r="E5" s="11" t="s">
        <v>136</v>
      </c>
      <c r="F5" s="11" t="s">
        <v>96</v>
      </c>
      <c r="G5" s="11" t="s">
        <v>496</v>
      </c>
      <c r="H5" s="10">
        <v>4500</v>
      </c>
      <c r="I5" s="10">
        <v>4</v>
      </c>
      <c r="J5" s="12">
        <v>46032</v>
      </c>
      <c r="K5" s="11" t="s">
        <v>497</v>
      </c>
      <c r="L5" s="10">
        <v>500000</v>
      </c>
      <c r="M5" s="10">
        <v>7</v>
      </c>
      <c r="N5" s="10">
        <v>8.9</v>
      </c>
      <c r="O5" s="11" t="s">
        <v>490</v>
      </c>
      <c r="P5" t="str">
        <f t="shared" si="1"/>
        <v>amit kumar</v>
      </c>
      <c r="Q5" s="31" t="str">
        <f t="shared" si="2"/>
        <v>AMIT KUMAR</v>
      </c>
      <c r="R5" s="31" t="str">
        <f t="shared" si="3"/>
        <v>Amit Kumar</v>
      </c>
      <c r="S5" s="31"/>
      <c r="T5" s="31"/>
      <c r="U5" s="31"/>
      <c r="V5" s="31"/>
      <c r="W5" s="31"/>
      <c r="X5" s="31"/>
      <c r="Y5" s="31"/>
      <c r="Z5" s="31"/>
      <c r="AA5" s="35">
        <v>4500.6559999999999</v>
      </c>
      <c r="AB5" s="31"/>
      <c r="AC5" s="31"/>
      <c r="AD5" s="31"/>
      <c r="AE5" s="67"/>
      <c r="AF5" s="31" t="s">
        <v>66</v>
      </c>
      <c r="AG5" s="31"/>
      <c r="AH5" s="35">
        <v>4500.6559999999999</v>
      </c>
      <c r="AI5" s="41">
        <f>INT(AH5)</f>
        <v>4500</v>
      </c>
      <c r="AJ5" s="41"/>
      <c r="AK5" s="41"/>
      <c r="AL5" s="41"/>
      <c r="AM5" s="41"/>
      <c r="AN5" s="41"/>
      <c r="AO5" s="41"/>
      <c r="AP5" s="41"/>
      <c r="AQ5" s="41"/>
      <c r="AR5" s="11" t="s">
        <v>524</v>
      </c>
      <c r="AS5" t="e">
        <f t="shared" si="4"/>
        <v>#N/A</v>
      </c>
      <c r="AT5" t="e">
        <f t="shared" si="0"/>
        <v>#N/A</v>
      </c>
    </row>
    <row r="6" spans="1:46" x14ac:dyDescent="0.4">
      <c r="A6" s="11" t="s">
        <v>498</v>
      </c>
      <c r="B6" s="11" t="s">
        <v>499</v>
      </c>
      <c r="C6" s="11" t="s">
        <v>224</v>
      </c>
      <c r="D6" s="10">
        <v>26</v>
      </c>
      <c r="E6" s="11" t="s">
        <v>141</v>
      </c>
      <c r="F6" s="11" t="s">
        <v>89</v>
      </c>
      <c r="G6" s="11" t="s">
        <v>112</v>
      </c>
      <c r="H6" s="10">
        <v>1800</v>
      </c>
      <c r="I6" s="10">
        <v>1</v>
      </c>
      <c r="J6" s="12">
        <v>46034</v>
      </c>
      <c r="K6" s="11" t="s">
        <v>489</v>
      </c>
      <c r="L6" s="10">
        <v>100000</v>
      </c>
      <c r="M6" s="10">
        <v>2</v>
      </c>
      <c r="N6" s="10">
        <v>11.5</v>
      </c>
      <c r="O6" s="11" t="s">
        <v>500</v>
      </c>
      <c r="P6" t="str">
        <f t="shared" si="1"/>
        <v>neha singh</v>
      </c>
      <c r="Q6" s="31" t="str">
        <f t="shared" si="2"/>
        <v>NEHA SINGH</v>
      </c>
      <c r="R6" s="31" t="str">
        <f t="shared" si="3"/>
        <v>Neha Singh</v>
      </c>
      <c r="S6" s="31"/>
      <c r="T6" s="31"/>
      <c r="U6" s="31"/>
      <c r="V6" s="31"/>
      <c r="W6" s="31"/>
      <c r="X6" s="31"/>
      <c r="Y6" s="31"/>
      <c r="Z6" s="31"/>
      <c r="AA6" s="35">
        <v>1800.2460000000001</v>
      </c>
      <c r="AB6" s="31"/>
      <c r="AC6" s="31"/>
      <c r="AD6" s="31"/>
      <c r="AE6" s="67"/>
      <c r="AF6" s="31">
        <v>24</v>
      </c>
      <c r="AG6" s="31">
        <f>ABS(AF6)</f>
        <v>24</v>
      </c>
      <c r="AH6" s="35">
        <v>1800.2460000000001</v>
      </c>
      <c r="AI6" s="41">
        <f>INT(AH6)</f>
        <v>1800</v>
      </c>
      <c r="AJ6" s="41"/>
      <c r="AK6" s="41"/>
      <c r="AL6" s="41"/>
      <c r="AM6" s="41"/>
      <c r="AN6" s="41"/>
      <c r="AO6" s="41"/>
      <c r="AP6" s="41"/>
      <c r="AQ6" s="41"/>
      <c r="AR6" s="11" t="s">
        <v>526</v>
      </c>
      <c r="AS6" t="e">
        <f t="shared" si="4"/>
        <v>#N/A</v>
      </c>
      <c r="AT6" t="e">
        <f t="shared" si="0"/>
        <v>#N/A</v>
      </c>
    </row>
    <row r="7" spans="1:46" x14ac:dyDescent="0.4">
      <c r="A7" s="11" t="s">
        <v>501</v>
      </c>
      <c r="B7" s="11" t="s">
        <v>151</v>
      </c>
      <c r="C7" s="11" t="s">
        <v>502</v>
      </c>
      <c r="D7" s="10">
        <v>35</v>
      </c>
      <c r="E7" s="11" t="s">
        <v>136</v>
      </c>
      <c r="F7" s="11" t="s">
        <v>89</v>
      </c>
      <c r="G7" s="11" t="s">
        <v>503</v>
      </c>
      <c r="H7" s="10">
        <v>22000</v>
      </c>
      <c r="I7" s="10">
        <v>1</v>
      </c>
      <c r="J7" s="12">
        <v>46037</v>
      </c>
      <c r="K7" s="11" t="s">
        <v>494</v>
      </c>
      <c r="L7" s="10">
        <v>250000</v>
      </c>
      <c r="M7" s="10">
        <v>4</v>
      </c>
      <c r="N7" s="10">
        <v>9.8000000000000007</v>
      </c>
      <c r="O7" s="11" t="s">
        <v>490</v>
      </c>
      <c r="P7" t="str">
        <f t="shared" si="1"/>
        <v>rohit gupta</v>
      </c>
      <c r="Q7" s="31" t="str">
        <f t="shared" si="2"/>
        <v>ROHIT GUPTA</v>
      </c>
      <c r="R7" s="31" t="str">
        <f t="shared" si="3"/>
        <v>Rohit Gupta</v>
      </c>
      <c r="S7" s="31"/>
      <c r="T7" s="31"/>
      <c r="U7" s="31"/>
      <c r="V7" s="31"/>
      <c r="W7" s="31"/>
      <c r="X7" s="31"/>
      <c r="Y7" s="31"/>
      <c r="Z7" s="31"/>
      <c r="AA7" s="35">
        <v>22000.875</v>
      </c>
      <c r="AB7" s="31"/>
      <c r="AC7" s="31"/>
      <c r="AD7" s="31"/>
      <c r="AE7" s="67"/>
      <c r="AF7" s="31">
        <v>12</v>
      </c>
      <c r="AG7" s="31">
        <f>ABS(AF7)</f>
        <v>12</v>
      </c>
      <c r="AH7" s="35">
        <v>-22000.875</v>
      </c>
      <c r="AI7" s="41">
        <f>INT(AH7)</f>
        <v>-22001</v>
      </c>
      <c r="AJ7" s="41"/>
      <c r="AK7" s="41"/>
      <c r="AL7" s="41"/>
      <c r="AN7" s="45" t="s">
        <v>684</v>
      </c>
      <c r="AO7" s="41"/>
      <c r="AP7" s="41"/>
      <c r="AQ7" s="41"/>
      <c r="AR7" s="11" t="s">
        <v>529</v>
      </c>
      <c r="AS7" t="e">
        <f t="shared" si="4"/>
        <v>#N/A</v>
      </c>
      <c r="AT7" t="e">
        <f t="shared" si="0"/>
        <v>#N/A</v>
      </c>
    </row>
    <row r="8" spans="1:46" ht="17.149999999999999" x14ac:dyDescent="0.55000000000000004">
      <c r="A8" s="11" t="s">
        <v>504</v>
      </c>
      <c r="B8" s="11" t="s">
        <v>505</v>
      </c>
      <c r="C8" s="11" t="s">
        <v>154</v>
      </c>
      <c r="D8" s="10">
        <v>29</v>
      </c>
      <c r="E8" s="11" t="s">
        <v>141</v>
      </c>
      <c r="F8" s="11" t="s">
        <v>506</v>
      </c>
      <c r="G8" s="11" t="s">
        <v>507</v>
      </c>
      <c r="H8" s="10">
        <v>3200</v>
      </c>
      <c r="I8" s="10">
        <v>3</v>
      </c>
      <c r="J8" s="12">
        <v>46040</v>
      </c>
      <c r="K8" s="11" t="s">
        <v>489</v>
      </c>
      <c r="L8" s="10">
        <v>180000</v>
      </c>
      <c r="M8" s="10">
        <v>3</v>
      </c>
      <c r="N8" s="10">
        <v>10.5</v>
      </c>
      <c r="O8" s="11" t="s">
        <v>490</v>
      </c>
      <c r="P8" t="str">
        <f t="shared" si="1"/>
        <v>anjali mehta</v>
      </c>
      <c r="Q8" s="31" t="str">
        <f t="shared" si="2"/>
        <v>ANJALI MEHTA</v>
      </c>
      <c r="R8" s="31" t="str">
        <f t="shared" si="3"/>
        <v>Anjali Mehta</v>
      </c>
      <c r="S8" s="31"/>
      <c r="T8" s="31"/>
      <c r="U8" s="31"/>
      <c r="V8" s="31"/>
      <c r="W8" s="31"/>
      <c r="X8" s="31"/>
      <c r="Y8" s="31"/>
      <c r="Z8" s="31"/>
      <c r="AA8" s="31"/>
      <c r="AB8" s="31"/>
      <c r="AC8" s="31"/>
      <c r="AD8" s="31"/>
      <c r="AE8" s="67"/>
      <c r="AF8" s="31">
        <v>-40</v>
      </c>
      <c r="AG8" s="31">
        <f>ABS(AF8)</f>
        <v>40</v>
      </c>
      <c r="AH8" s="31"/>
      <c r="AI8" s="31"/>
      <c r="AJ8" s="31"/>
      <c r="AK8" s="31"/>
      <c r="AL8" s="31"/>
      <c r="AM8" s="44">
        <v>45705</v>
      </c>
      <c r="AN8" s="3">
        <f ca="1">DATEDIF(AM8,TODAY(),"Y")</f>
        <v>1</v>
      </c>
      <c r="AO8" s="31"/>
      <c r="AP8" s="31"/>
      <c r="AQ8" s="31"/>
      <c r="AR8" s="11" t="s">
        <v>531</v>
      </c>
      <c r="AS8" t="e">
        <f t="shared" si="4"/>
        <v>#N/A</v>
      </c>
      <c r="AT8" t="e">
        <f t="shared" si="0"/>
        <v>#N/A</v>
      </c>
    </row>
    <row r="9" spans="1:46" x14ac:dyDescent="0.4">
      <c r="A9" s="11" t="s">
        <v>508</v>
      </c>
      <c r="B9" s="11" t="s">
        <v>509</v>
      </c>
      <c r="C9" s="11" t="s">
        <v>172</v>
      </c>
      <c r="D9" s="10">
        <v>45</v>
      </c>
      <c r="E9" s="11" t="s">
        <v>136</v>
      </c>
      <c r="F9" s="11" t="s">
        <v>510</v>
      </c>
      <c r="G9" s="11" t="s">
        <v>511</v>
      </c>
      <c r="H9" s="10">
        <v>1200</v>
      </c>
      <c r="I9" s="10">
        <v>5</v>
      </c>
      <c r="J9" s="12">
        <v>46042</v>
      </c>
      <c r="K9" s="11" t="s">
        <v>512</v>
      </c>
      <c r="L9" s="10">
        <v>400000</v>
      </c>
      <c r="M9" s="10">
        <v>6</v>
      </c>
      <c r="N9" s="10">
        <v>9.1999999999999993</v>
      </c>
      <c r="O9" s="11" t="s">
        <v>490</v>
      </c>
      <c r="P9" t="str">
        <f t="shared" si="1"/>
        <v>vikas yadav</v>
      </c>
      <c r="Q9" s="31" t="str">
        <f t="shared" si="2"/>
        <v>VIKAS YADAV</v>
      </c>
      <c r="R9" s="31" t="str">
        <f t="shared" si="3"/>
        <v>Vikas Yadav</v>
      </c>
      <c r="S9" s="31"/>
      <c r="T9" s="31"/>
      <c r="U9" s="31"/>
      <c r="V9" s="31"/>
      <c r="W9" s="31"/>
      <c r="X9" s="31"/>
      <c r="Y9" s="31"/>
      <c r="Z9" s="31"/>
      <c r="AA9" s="31"/>
      <c r="AB9" s="31"/>
      <c r="AC9" s="31"/>
      <c r="AD9" s="31"/>
      <c r="AE9" s="40"/>
      <c r="AF9" s="31">
        <v>32</v>
      </c>
      <c r="AG9" s="31">
        <f>ABS(AF9)</f>
        <v>32</v>
      </c>
      <c r="AH9" s="31"/>
      <c r="AI9" s="31"/>
      <c r="AJ9" s="31"/>
      <c r="AK9" s="31"/>
      <c r="AL9" s="31"/>
      <c r="AM9" s="31"/>
      <c r="AN9" s="31"/>
      <c r="AO9" s="31"/>
      <c r="AP9" s="31"/>
      <c r="AQ9" s="31"/>
      <c r="AR9" t="s">
        <v>615</v>
      </c>
      <c r="AS9" t="e">
        <f t="shared" si="4"/>
        <v>#N/A</v>
      </c>
      <c r="AT9" t="e">
        <f t="shared" si="0"/>
        <v>#N/A</v>
      </c>
    </row>
    <row r="10" spans="1:46" x14ac:dyDescent="0.4">
      <c r="A10" s="11" t="s">
        <v>513</v>
      </c>
      <c r="B10" s="11" t="s">
        <v>165</v>
      </c>
      <c r="C10" s="11" t="s">
        <v>139</v>
      </c>
      <c r="D10" s="10">
        <v>31</v>
      </c>
      <c r="E10" s="11" t="s">
        <v>141</v>
      </c>
      <c r="F10" s="11" t="s">
        <v>492</v>
      </c>
      <c r="G10" s="11" t="s">
        <v>514</v>
      </c>
      <c r="H10" s="10">
        <v>3500</v>
      </c>
      <c r="I10" s="10">
        <v>2</v>
      </c>
      <c r="J10" s="12">
        <v>46044</v>
      </c>
      <c r="K10" s="11" t="s">
        <v>489</v>
      </c>
      <c r="L10" s="10">
        <v>200000</v>
      </c>
      <c r="M10" s="10">
        <v>4</v>
      </c>
      <c r="N10" s="10">
        <v>10</v>
      </c>
      <c r="O10" s="11" t="s">
        <v>490</v>
      </c>
      <c r="P10" t="str">
        <f t="shared" si="1"/>
        <v>pooja sharma</v>
      </c>
      <c r="Q10" s="31" t="str">
        <f t="shared" si="2"/>
        <v>POOJA SHARMA</v>
      </c>
      <c r="R10" s="31" t="str">
        <f t="shared" si="3"/>
        <v>Pooja Sharma</v>
      </c>
      <c r="S10" s="31"/>
      <c r="T10" s="31"/>
      <c r="U10" s="31"/>
      <c r="V10" s="31"/>
      <c r="W10" s="31"/>
      <c r="X10" s="31"/>
      <c r="Y10" s="31"/>
      <c r="Z10" s="31"/>
      <c r="AA10" s="31"/>
      <c r="AB10" s="31"/>
      <c r="AC10" s="31"/>
      <c r="AD10" s="31"/>
      <c r="AE10" s="31"/>
      <c r="AF10" s="31">
        <v>-34</v>
      </c>
      <c r="AG10" s="31">
        <f>ABS(AF10)</f>
        <v>34</v>
      </c>
      <c r="AH10" s="31"/>
      <c r="AI10" s="31"/>
      <c r="AJ10" s="31"/>
      <c r="AK10" s="31"/>
      <c r="AL10" s="31"/>
      <c r="AM10" s="31"/>
      <c r="AN10" s="31"/>
      <c r="AO10" s="31"/>
      <c r="AP10" s="31"/>
      <c r="AQ10" s="31"/>
      <c r="AR10" t="s">
        <v>531</v>
      </c>
      <c r="AS10" t="e">
        <f t="shared" si="4"/>
        <v>#N/A</v>
      </c>
      <c r="AT10" t="e">
        <f t="shared" si="0"/>
        <v>#N/A</v>
      </c>
    </row>
    <row r="11" spans="1:46" x14ac:dyDescent="0.4">
      <c r="A11" s="11" t="s">
        <v>515</v>
      </c>
      <c r="B11" s="11" t="s">
        <v>516</v>
      </c>
      <c r="C11" s="11" t="s">
        <v>168</v>
      </c>
      <c r="D11" s="10">
        <v>38</v>
      </c>
      <c r="E11" s="11" t="s">
        <v>136</v>
      </c>
      <c r="F11" s="11" t="s">
        <v>89</v>
      </c>
      <c r="G11" s="11" t="s">
        <v>517</v>
      </c>
      <c r="H11" s="10">
        <v>18000</v>
      </c>
      <c r="I11" s="10">
        <v>1</v>
      </c>
      <c r="J11" s="12">
        <v>46047</v>
      </c>
      <c r="K11" s="11" t="s">
        <v>497</v>
      </c>
      <c r="L11" s="10">
        <v>350000</v>
      </c>
      <c r="M11" s="10">
        <v>5</v>
      </c>
      <c r="N11" s="10">
        <v>9.6999999999999993</v>
      </c>
      <c r="O11" s="11" t="s">
        <v>490</v>
      </c>
      <c r="P11" t="str">
        <f t="shared" si="1"/>
        <v>suresh patel</v>
      </c>
      <c r="Q11" s="31" t="str">
        <f t="shared" si="2"/>
        <v>SURESH PATEL</v>
      </c>
      <c r="R11" s="31" t="str">
        <f t="shared" si="3"/>
        <v>Suresh Patel</v>
      </c>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t="s">
        <v>524</v>
      </c>
      <c r="AS11" t="e">
        <f t="shared" si="4"/>
        <v>#N/A</v>
      </c>
      <c r="AT11" t="e">
        <f t="shared" si="0"/>
        <v>#N/A</v>
      </c>
    </row>
    <row r="12" spans="1:46" x14ac:dyDescent="0.4">
      <c r="A12" s="11" t="s">
        <v>518</v>
      </c>
      <c r="B12" s="11" t="s">
        <v>519</v>
      </c>
      <c r="C12" s="11" t="s">
        <v>150</v>
      </c>
      <c r="D12" s="10">
        <v>27</v>
      </c>
      <c r="E12" s="11" t="s">
        <v>141</v>
      </c>
      <c r="F12" s="11" t="s">
        <v>520</v>
      </c>
      <c r="G12" s="11" t="s">
        <v>521</v>
      </c>
      <c r="H12" s="10">
        <v>4500</v>
      </c>
      <c r="I12" s="10">
        <v>1</v>
      </c>
      <c r="J12" s="12">
        <v>46050</v>
      </c>
      <c r="K12" s="11" t="s">
        <v>494</v>
      </c>
      <c r="L12" s="10">
        <v>120000</v>
      </c>
      <c r="M12" s="10">
        <v>2</v>
      </c>
      <c r="N12" s="10">
        <v>11.2</v>
      </c>
      <c r="O12" s="11" t="s">
        <v>500</v>
      </c>
      <c r="P12" t="str">
        <f t="shared" si="1"/>
        <v>kavita rao</v>
      </c>
      <c r="Q12" s="31" t="str">
        <f t="shared" si="2"/>
        <v>KAVITA RAO</v>
      </c>
      <c r="R12" s="31" t="str">
        <f t="shared" si="3"/>
        <v>Kavita Rao</v>
      </c>
      <c r="S12" s="31"/>
      <c r="T12" s="31"/>
      <c r="U12" s="31"/>
      <c r="V12" s="31"/>
      <c r="W12" s="31"/>
      <c r="X12" s="31"/>
      <c r="Y12" s="31"/>
      <c r="Z12" s="31"/>
      <c r="AA12" s="31"/>
      <c r="AB12" s="31"/>
      <c r="AC12" s="31"/>
      <c r="AD12" s="31"/>
      <c r="AE12" s="31"/>
      <c r="AF12" s="31"/>
      <c r="AG12" s="31"/>
      <c r="AH12" s="31"/>
      <c r="AI12" s="31"/>
      <c r="AJ12" s="31"/>
      <c r="AK12" s="31"/>
      <c r="AL12" s="31"/>
      <c r="AM12" s="31"/>
      <c r="AN12" s="31"/>
      <c r="AO12" s="31"/>
      <c r="AP12" s="31"/>
      <c r="AQ12" s="31"/>
      <c r="AR12" t="s">
        <v>522</v>
      </c>
      <c r="AS12" t="e">
        <f t="shared" si="4"/>
        <v>#N/A</v>
      </c>
      <c r="AT12" t="e">
        <f t="shared" si="0"/>
        <v>#N/A</v>
      </c>
    </row>
    <row r="13" spans="1:46" x14ac:dyDescent="0.4">
      <c r="A13" s="11" t="s">
        <v>522</v>
      </c>
      <c r="B13" s="11" t="s">
        <v>523</v>
      </c>
      <c r="C13" s="11" t="s">
        <v>139</v>
      </c>
      <c r="D13" s="10">
        <v>33</v>
      </c>
      <c r="E13" s="11" t="s">
        <v>136</v>
      </c>
      <c r="F13" s="11" t="s">
        <v>89</v>
      </c>
      <c r="G13" s="11" t="s">
        <v>107</v>
      </c>
      <c r="H13" s="10">
        <v>15000</v>
      </c>
      <c r="I13" s="10">
        <v>2</v>
      </c>
      <c r="J13" s="12">
        <v>46055</v>
      </c>
      <c r="K13" s="11" t="s">
        <v>489</v>
      </c>
      <c r="L13" s="10">
        <v>275000</v>
      </c>
      <c r="M13" s="10">
        <v>5</v>
      </c>
      <c r="N13" s="10">
        <v>9.6</v>
      </c>
      <c r="O13" s="11" t="s">
        <v>490</v>
      </c>
      <c r="P13" t="str">
        <f t="shared" si="1"/>
        <v>arjun malhotra</v>
      </c>
      <c r="Q13" s="31" t="str">
        <f t="shared" si="2"/>
        <v>ARJUN MALHOTRA</v>
      </c>
      <c r="R13" s="31" t="str">
        <f t="shared" si="3"/>
        <v>Arjun Malhotra</v>
      </c>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t="s">
        <v>529</v>
      </c>
      <c r="AS13" t="e">
        <f t="shared" si="4"/>
        <v>#N/A</v>
      </c>
      <c r="AT13" t="e">
        <f t="shared" si="0"/>
        <v>#N/A</v>
      </c>
    </row>
    <row r="14" spans="1:46" x14ac:dyDescent="0.4">
      <c r="A14" s="11" t="s">
        <v>524</v>
      </c>
      <c r="B14" s="11" t="s">
        <v>184</v>
      </c>
      <c r="C14" s="11" t="s">
        <v>185</v>
      </c>
      <c r="D14" s="10">
        <v>30</v>
      </c>
      <c r="E14" s="11" t="s">
        <v>141</v>
      </c>
      <c r="F14" s="11" t="s">
        <v>492</v>
      </c>
      <c r="G14" s="11" t="s">
        <v>525</v>
      </c>
      <c r="H14" s="10">
        <v>2800</v>
      </c>
      <c r="I14" s="10">
        <v>2</v>
      </c>
      <c r="J14" s="12">
        <v>46057</v>
      </c>
      <c r="K14" s="11" t="s">
        <v>489</v>
      </c>
      <c r="L14" s="10">
        <v>160000</v>
      </c>
      <c r="M14" s="10">
        <v>3</v>
      </c>
      <c r="N14" s="10">
        <v>10.4</v>
      </c>
      <c r="O14" s="11" t="s">
        <v>490</v>
      </c>
      <c r="P14" t="str">
        <f t="shared" si="1"/>
        <v>simran kaur</v>
      </c>
      <c r="Q14" s="31" t="str">
        <f t="shared" si="2"/>
        <v>SIMRAN KAUR</v>
      </c>
      <c r="R14" s="31" t="str">
        <f t="shared" si="3"/>
        <v>Simran Kaur</v>
      </c>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row>
    <row r="15" spans="1:46" x14ac:dyDescent="0.4">
      <c r="A15" s="11" t="s">
        <v>526</v>
      </c>
      <c r="B15" s="11" t="s">
        <v>527</v>
      </c>
      <c r="C15" s="11" t="s">
        <v>172</v>
      </c>
      <c r="D15" s="10">
        <v>42</v>
      </c>
      <c r="E15" s="11" t="s">
        <v>136</v>
      </c>
      <c r="F15" s="11" t="s">
        <v>96</v>
      </c>
      <c r="G15" s="11" t="s">
        <v>528</v>
      </c>
      <c r="H15" s="10">
        <v>12000</v>
      </c>
      <c r="I15" s="10">
        <v>1</v>
      </c>
      <c r="J15" s="12">
        <v>46059</v>
      </c>
      <c r="K15" s="11" t="s">
        <v>497</v>
      </c>
      <c r="L15" s="10">
        <v>450000</v>
      </c>
      <c r="M15" s="10">
        <v>7</v>
      </c>
      <c r="N15" s="10">
        <v>8.8000000000000007</v>
      </c>
      <c r="O15" s="11" t="s">
        <v>490</v>
      </c>
      <c r="P15" t="str">
        <f t="shared" si="1"/>
        <v>manish jain</v>
      </c>
      <c r="Q15" s="31" t="str">
        <f t="shared" si="2"/>
        <v>MANISH JAIN</v>
      </c>
      <c r="R15" s="31" t="str">
        <f t="shared" si="3"/>
        <v>Manish Jain</v>
      </c>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17" t="s">
        <v>640</v>
      </c>
    </row>
    <row r="16" spans="1:46" x14ac:dyDescent="0.4">
      <c r="A16" s="11" t="s">
        <v>529</v>
      </c>
      <c r="B16" s="11" t="s">
        <v>177</v>
      </c>
      <c r="C16" s="11" t="s">
        <v>139</v>
      </c>
      <c r="D16" s="10">
        <v>24</v>
      </c>
      <c r="E16" s="11" t="s">
        <v>141</v>
      </c>
      <c r="F16" s="11" t="s">
        <v>506</v>
      </c>
      <c r="G16" s="11" t="s">
        <v>530</v>
      </c>
      <c r="H16" s="10">
        <v>2200</v>
      </c>
      <c r="I16" s="10">
        <v>2</v>
      </c>
      <c r="J16" s="12">
        <v>46061</v>
      </c>
      <c r="K16" s="11" t="s">
        <v>494</v>
      </c>
      <c r="L16" s="10">
        <v>80000</v>
      </c>
      <c r="M16" s="10">
        <v>2</v>
      </c>
      <c r="N16" s="10">
        <v>12</v>
      </c>
      <c r="O16" s="11" t="s">
        <v>500</v>
      </c>
      <c r="P16" t="str">
        <f t="shared" si="1"/>
        <v>riya kapoor</v>
      </c>
      <c r="Q16" s="31" t="str">
        <f t="shared" si="2"/>
        <v>RIYA KAPOOR</v>
      </c>
      <c r="R16" s="31" t="str">
        <f t="shared" si="3"/>
        <v>Riya Kapoor</v>
      </c>
      <c r="S16" s="31"/>
      <c r="T16" s="31"/>
      <c r="U16" s="31"/>
      <c r="V16" s="31"/>
      <c r="W16" s="31"/>
      <c r="X16" s="31"/>
      <c r="Y16" s="31"/>
      <c r="Z16" s="31"/>
      <c r="AA16" s="31"/>
      <c r="AB16" s="31"/>
      <c r="AC16" s="31"/>
      <c r="AD16" s="31"/>
      <c r="AE16" s="31"/>
      <c r="AF16" s="31"/>
      <c r="AG16" s="31"/>
      <c r="AH16" s="31"/>
      <c r="AI16" s="31"/>
      <c r="AJ16" s="31"/>
      <c r="AK16" s="31"/>
      <c r="AL16" s="31"/>
      <c r="AM16" s="31"/>
      <c r="AN16" s="31"/>
      <c r="AO16" s="31"/>
      <c r="AP16" s="31"/>
      <c r="AQ16" s="31"/>
      <c r="AR16" s="17" t="s">
        <v>636</v>
      </c>
      <c r="AS16" s="17"/>
    </row>
    <row r="17" spans="1:45" x14ac:dyDescent="0.4">
      <c r="A17" s="11" t="s">
        <v>531</v>
      </c>
      <c r="B17" s="11" t="s">
        <v>532</v>
      </c>
      <c r="C17" s="11" t="s">
        <v>192</v>
      </c>
      <c r="D17" s="10">
        <v>39</v>
      </c>
      <c r="E17" s="11" t="s">
        <v>136</v>
      </c>
      <c r="F17" s="11" t="s">
        <v>89</v>
      </c>
      <c r="G17" s="11" t="s">
        <v>533</v>
      </c>
      <c r="H17" s="10">
        <v>32000</v>
      </c>
      <c r="I17" s="10">
        <v>1</v>
      </c>
      <c r="J17" s="12">
        <v>46063</v>
      </c>
      <c r="K17" s="11" t="s">
        <v>489</v>
      </c>
      <c r="L17" s="10">
        <v>300000</v>
      </c>
      <c r="M17" s="10">
        <v>5</v>
      </c>
      <c r="N17" s="10">
        <v>9.9</v>
      </c>
      <c r="O17" s="11" t="s">
        <v>490</v>
      </c>
      <c r="P17" t="str">
        <f t="shared" si="1"/>
        <v>deepak verma</v>
      </c>
      <c r="Q17" s="31" t="str">
        <f t="shared" si="2"/>
        <v>DEEPAK VERMA</v>
      </c>
      <c r="R17" s="31" t="str">
        <f t="shared" si="3"/>
        <v>Deepak Verma</v>
      </c>
      <c r="S17" s="31"/>
      <c r="T17" s="31"/>
      <c r="U17" s="31"/>
      <c r="V17" s="31"/>
      <c r="W17" s="31"/>
      <c r="X17" s="31"/>
      <c r="Y17" s="31"/>
      <c r="Z17" s="31"/>
      <c r="AA17" s="31"/>
      <c r="AB17" s="31"/>
      <c r="AC17" s="31"/>
      <c r="AD17" s="31"/>
      <c r="AE17" s="31"/>
      <c r="AF17" s="31"/>
      <c r="AG17" s="31"/>
      <c r="AH17" s="31"/>
      <c r="AI17" s="31"/>
      <c r="AJ17" s="31"/>
      <c r="AK17" s="31"/>
      <c r="AL17" s="31"/>
      <c r="AM17" s="31"/>
      <c r="AN17" s="31"/>
      <c r="AO17" s="31"/>
      <c r="AP17" s="31"/>
      <c r="AQ17" s="31"/>
      <c r="AR17" s="17">
        <f>VLOOKUP("Amit*",B2:O52,3,FALSE)</f>
        <v>41</v>
      </c>
      <c r="AS17" s="17" t="s">
        <v>637</v>
      </c>
    </row>
    <row r="18" spans="1:45" x14ac:dyDescent="0.4">
      <c r="A18" s="11" t="s">
        <v>534</v>
      </c>
      <c r="B18" s="11" t="s">
        <v>535</v>
      </c>
      <c r="C18" s="11" t="s">
        <v>176</v>
      </c>
      <c r="D18" s="10">
        <v>28</v>
      </c>
      <c r="E18" s="11" t="s">
        <v>141</v>
      </c>
      <c r="F18" s="11" t="s">
        <v>510</v>
      </c>
      <c r="G18" s="11" t="s">
        <v>536</v>
      </c>
      <c r="H18" s="10">
        <v>850</v>
      </c>
      <c r="I18" s="10">
        <v>4</v>
      </c>
      <c r="J18" s="12">
        <v>46065</v>
      </c>
      <c r="K18" s="11" t="s">
        <v>489</v>
      </c>
      <c r="L18" s="10">
        <v>175000</v>
      </c>
      <c r="M18" s="10">
        <v>3</v>
      </c>
      <c r="N18" s="10">
        <v>10.1</v>
      </c>
      <c r="O18" s="11" t="s">
        <v>490</v>
      </c>
      <c r="P18" t="str">
        <f t="shared" si="1"/>
        <v>sneha iyer</v>
      </c>
      <c r="Q18" s="31" t="str">
        <f t="shared" si="2"/>
        <v>SNEHA IYER</v>
      </c>
      <c r="R18" s="31" t="str">
        <f t="shared" si="3"/>
        <v>Sneha Iyer</v>
      </c>
      <c r="S18" s="31"/>
      <c r="T18" s="31"/>
      <c r="U18" s="31"/>
      <c r="V18" s="31"/>
      <c r="W18" s="31"/>
      <c r="X18" s="31"/>
      <c r="Y18" s="31"/>
      <c r="Z18" s="31"/>
      <c r="AA18" s="31"/>
      <c r="AB18" s="31"/>
      <c r="AC18" s="31"/>
      <c r="AD18" s="31"/>
      <c r="AE18" s="31"/>
      <c r="AF18" s="31"/>
      <c r="AG18" s="31"/>
      <c r="AH18" s="31"/>
      <c r="AI18" s="31"/>
      <c r="AJ18" s="31"/>
      <c r="AK18" s="31"/>
      <c r="AL18" s="31"/>
      <c r="AM18" s="31"/>
      <c r="AN18" s="31"/>
      <c r="AO18" s="31"/>
      <c r="AP18" s="31"/>
      <c r="AQ18" s="31"/>
    </row>
    <row r="19" spans="1:45" x14ac:dyDescent="0.4">
      <c r="A19" s="11" t="s">
        <v>537</v>
      </c>
      <c r="B19" s="11" t="s">
        <v>538</v>
      </c>
      <c r="C19" s="11" t="s">
        <v>224</v>
      </c>
      <c r="D19" s="10">
        <v>36</v>
      </c>
      <c r="E19" s="11" t="s">
        <v>136</v>
      </c>
      <c r="F19" s="11" t="s">
        <v>96</v>
      </c>
      <c r="G19" s="11" t="s">
        <v>539</v>
      </c>
      <c r="H19" s="10">
        <v>28000</v>
      </c>
      <c r="I19" s="10">
        <v>1</v>
      </c>
      <c r="J19" s="12">
        <v>46068</v>
      </c>
      <c r="K19" s="11" t="s">
        <v>494</v>
      </c>
      <c r="L19" s="10">
        <v>550000</v>
      </c>
      <c r="M19" s="10">
        <v>8</v>
      </c>
      <c r="N19" s="10">
        <v>8.6999999999999993</v>
      </c>
      <c r="O19" s="11" t="s">
        <v>490</v>
      </c>
      <c r="P19" t="str">
        <f t="shared" si="1"/>
        <v>karan singh</v>
      </c>
      <c r="Q19" s="31" t="str">
        <f t="shared" si="2"/>
        <v>KARAN SINGH</v>
      </c>
      <c r="R19" s="31" t="str">
        <f t="shared" si="3"/>
        <v>Karan Singh</v>
      </c>
      <c r="S19" s="31"/>
      <c r="T19" s="31"/>
      <c r="U19" s="31"/>
      <c r="V19" s="31"/>
      <c r="W19" s="31"/>
      <c r="X19" s="31"/>
      <c r="Y19" s="31"/>
      <c r="Z19" s="31"/>
      <c r="AA19" s="31"/>
      <c r="AB19" s="31"/>
      <c r="AC19" s="31"/>
      <c r="AD19" s="31"/>
      <c r="AE19" s="31"/>
      <c r="AF19" s="31"/>
      <c r="AG19" s="31"/>
      <c r="AH19" s="31"/>
      <c r="AI19" s="31"/>
      <c r="AJ19" s="31"/>
      <c r="AK19" s="31"/>
      <c r="AL19" s="31"/>
      <c r="AM19" s="31"/>
      <c r="AN19" s="31"/>
      <c r="AO19" s="31"/>
      <c r="AP19" s="31"/>
      <c r="AQ19" s="31"/>
      <c r="AR19" t="s">
        <v>638</v>
      </c>
    </row>
    <row r="20" spans="1:45" x14ac:dyDescent="0.4">
      <c r="A20" s="11" t="s">
        <v>540</v>
      </c>
      <c r="B20" s="11" t="s">
        <v>169</v>
      </c>
      <c r="C20" s="11" t="s">
        <v>154</v>
      </c>
      <c r="D20" s="10">
        <v>44</v>
      </c>
      <c r="E20" s="11" t="s">
        <v>141</v>
      </c>
      <c r="F20" s="11" t="s">
        <v>492</v>
      </c>
      <c r="G20" s="11" t="s">
        <v>541</v>
      </c>
      <c r="H20" s="10">
        <v>4200</v>
      </c>
      <c r="I20" s="10">
        <v>2</v>
      </c>
      <c r="J20" s="12">
        <v>46070</v>
      </c>
      <c r="K20" s="11" t="s">
        <v>497</v>
      </c>
      <c r="L20" s="10">
        <v>225000</v>
      </c>
      <c r="M20" s="10">
        <v>5</v>
      </c>
      <c r="N20" s="10">
        <v>9.8000000000000007</v>
      </c>
      <c r="O20" s="11" t="s">
        <v>490</v>
      </c>
      <c r="P20" t="str">
        <f t="shared" si="1"/>
        <v>meena joshi</v>
      </c>
      <c r="Q20" s="31" t="str">
        <f t="shared" si="2"/>
        <v>MEENA JOSHI</v>
      </c>
      <c r="R20" s="31" t="str">
        <f t="shared" si="3"/>
        <v>Meena Joshi</v>
      </c>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c r="AR20">
        <f>VLOOKUP("R*",B2:O52,7,FALSE)</f>
        <v>55000</v>
      </c>
    </row>
    <row r="21" spans="1:45" x14ac:dyDescent="0.4">
      <c r="A21" s="11" t="s">
        <v>542</v>
      </c>
      <c r="B21" s="11" t="s">
        <v>193</v>
      </c>
      <c r="C21" s="11" t="s">
        <v>139</v>
      </c>
      <c r="D21" s="10">
        <v>51</v>
      </c>
      <c r="E21" s="11" t="s">
        <v>136</v>
      </c>
      <c r="F21" s="11" t="s">
        <v>89</v>
      </c>
      <c r="G21" s="11" t="s">
        <v>543</v>
      </c>
      <c r="H21" s="10">
        <v>45000</v>
      </c>
      <c r="I21" s="10">
        <v>1</v>
      </c>
      <c r="J21" s="12">
        <v>46073</v>
      </c>
      <c r="K21" s="11" t="s">
        <v>489</v>
      </c>
      <c r="L21" s="10">
        <v>600000</v>
      </c>
      <c r="M21" s="10">
        <v>10</v>
      </c>
      <c r="N21" s="10">
        <v>8.5</v>
      </c>
      <c r="O21" s="11" t="s">
        <v>490</v>
      </c>
      <c r="P21" t="str">
        <f t="shared" si="1"/>
        <v>rajesh kumar</v>
      </c>
      <c r="Q21" s="31" t="str">
        <f t="shared" si="2"/>
        <v>RAJESH KUMAR</v>
      </c>
      <c r="R21" s="31" t="str">
        <f t="shared" si="3"/>
        <v>Rajesh Kumar</v>
      </c>
      <c r="S21" s="31"/>
      <c r="T21" s="31"/>
      <c r="U21" s="31"/>
      <c r="V21" s="31"/>
      <c r="W21" s="31"/>
      <c r="X21" s="31"/>
      <c r="Y21" s="31"/>
      <c r="Z21" s="31"/>
      <c r="AA21" s="31"/>
      <c r="AB21" s="31"/>
      <c r="AC21" s="31"/>
      <c r="AD21" s="31"/>
      <c r="AE21" s="31"/>
      <c r="AF21" s="31"/>
      <c r="AG21" s="31"/>
      <c r="AH21" s="31"/>
      <c r="AI21" s="31"/>
      <c r="AJ21" s="31"/>
      <c r="AK21" s="31"/>
      <c r="AL21" s="31"/>
      <c r="AM21" s="31"/>
      <c r="AN21" s="31"/>
      <c r="AO21" s="31"/>
      <c r="AP21" s="31"/>
      <c r="AQ21" s="31"/>
    </row>
    <row r="22" spans="1:45" x14ac:dyDescent="0.4">
      <c r="A22" s="11" t="s">
        <v>544</v>
      </c>
      <c r="B22" s="11" t="s">
        <v>545</v>
      </c>
      <c r="C22" s="11" t="s">
        <v>144</v>
      </c>
      <c r="D22" s="10">
        <v>25</v>
      </c>
      <c r="E22" s="11" t="s">
        <v>141</v>
      </c>
      <c r="F22" s="11" t="s">
        <v>520</v>
      </c>
      <c r="G22" s="11" t="s">
        <v>546</v>
      </c>
      <c r="H22" s="10">
        <v>3800</v>
      </c>
      <c r="I22" s="10">
        <v>3</v>
      </c>
      <c r="J22" s="12">
        <v>46075</v>
      </c>
      <c r="K22" s="11" t="s">
        <v>494</v>
      </c>
      <c r="L22" s="10">
        <v>90000</v>
      </c>
      <c r="M22" s="10">
        <v>2</v>
      </c>
      <c r="N22" s="10">
        <v>11.8</v>
      </c>
      <c r="O22" s="11" t="s">
        <v>500</v>
      </c>
      <c r="P22" t="str">
        <f t="shared" si="1"/>
        <v>divya shah</v>
      </c>
      <c r="Q22" s="31" t="str">
        <f t="shared" si="2"/>
        <v>DIVYA SHAH</v>
      </c>
      <c r="R22" s="31" t="str">
        <f t="shared" si="3"/>
        <v>Divya Shah</v>
      </c>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17" t="s">
        <v>639</v>
      </c>
    </row>
    <row r="23" spans="1:45" x14ac:dyDescent="0.4">
      <c r="A23" s="11" t="s">
        <v>547</v>
      </c>
      <c r="B23" s="11" t="s">
        <v>548</v>
      </c>
      <c r="C23" s="11" t="s">
        <v>502</v>
      </c>
      <c r="D23" s="10">
        <v>34</v>
      </c>
      <c r="E23" s="11" t="s">
        <v>136</v>
      </c>
      <c r="F23" s="11" t="s">
        <v>89</v>
      </c>
      <c r="G23" s="11" t="s">
        <v>92</v>
      </c>
      <c r="H23" s="10">
        <v>2500</v>
      </c>
      <c r="I23" s="10">
        <v>2</v>
      </c>
      <c r="J23" s="12">
        <v>46078</v>
      </c>
      <c r="K23" s="11" t="s">
        <v>489</v>
      </c>
      <c r="L23" s="10">
        <v>240000</v>
      </c>
      <c r="M23" s="10">
        <v>4</v>
      </c>
      <c r="N23" s="10">
        <v>10</v>
      </c>
      <c r="O23" s="11" t="s">
        <v>490</v>
      </c>
      <c r="P23" t="str">
        <f t="shared" si="1"/>
        <v>nitin arora</v>
      </c>
      <c r="Q23" s="31" t="str">
        <f t="shared" si="2"/>
        <v>NITIN ARORA</v>
      </c>
      <c r="R23" s="31" t="str">
        <f t="shared" si="3"/>
        <v>Nitin Arora</v>
      </c>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17" t="s">
        <v>636</v>
      </c>
      <c r="AS23" s="17"/>
    </row>
    <row r="24" spans="1:45" x14ac:dyDescent="0.4">
      <c r="A24" s="11" t="s">
        <v>549</v>
      </c>
      <c r="B24" s="11" t="s">
        <v>198</v>
      </c>
      <c r="C24" s="11" t="s">
        <v>160</v>
      </c>
      <c r="D24" s="10">
        <v>29</v>
      </c>
      <c r="E24" s="11" t="s">
        <v>141</v>
      </c>
      <c r="F24" s="11" t="s">
        <v>492</v>
      </c>
      <c r="G24" s="11" t="s">
        <v>550</v>
      </c>
      <c r="H24" s="10">
        <v>2200</v>
      </c>
      <c r="I24" s="10">
        <v>2</v>
      </c>
      <c r="J24" s="12">
        <v>46080</v>
      </c>
      <c r="K24" s="11" t="s">
        <v>512</v>
      </c>
      <c r="L24" s="10">
        <v>130000</v>
      </c>
      <c r="M24" s="10">
        <v>3</v>
      </c>
      <c r="N24" s="10">
        <v>10.6</v>
      </c>
      <c r="O24" s="11" t="s">
        <v>490</v>
      </c>
      <c r="P24" t="str">
        <f t="shared" si="1"/>
        <v>ayesha khan</v>
      </c>
      <c r="Q24" s="31" t="str">
        <f t="shared" si="2"/>
        <v>AYESHA KHAN</v>
      </c>
      <c r="R24" s="31" t="str">
        <f t="shared" si="3"/>
        <v>Ayesha Khan</v>
      </c>
      <c r="S24" s="31"/>
      <c r="T24" s="31"/>
      <c r="U24" s="31"/>
      <c r="V24" s="31"/>
      <c r="W24" s="31"/>
      <c r="X24" s="31"/>
      <c r="Y24" s="31"/>
      <c r="Z24" s="31"/>
      <c r="AA24" s="31"/>
      <c r="AB24" s="31"/>
      <c r="AC24" s="31"/>
      <c r="AD24" s="31"/>
      <c r="AE24" s="31"/>
      <c r="AF24" s="31"/>
      <c r="AG24" s="31"/>
      <c r="AH24" s="31"/>
      <c r="AI24" s="31"/>
      <c r="AJ24" s="31"/>
      <c r="AK24" s="31"/>
      <c r="AL24" s="31"/>
      <c r="AM24" s="31"/>
      <c r="AN24" s="31"/>
      <c r="AO24" s="31"/>
      <c r="AP24" s="31"/>
      <c r="AQ24" s="31"/>
      <c r="AR24" s="17">
        <f>VLOOKUP("A?i*",B2:O52,3,FALSE)</f>
        <v>41</v>
      </c>
      <c r="AS24" s="17" t="s">
        <v>637</v>
      </c>
    </row>
    <row r="25" spans="1:45" ht="17.149999999999999" x14ac:dyDescent="0.55000000000000004">
      <c r="A25" s="11" t="s">
        <v>551</v>
      </c>
      <c r="B25" s="11" t="s">
        <v>552</v>
      </c>
      <c r="C25" s="11" t="s">
        <v>139</v>
      </c>
      <c r="D25" s="10">
        <v>47</v>
      </c>
      <c r="E25" s="11" t="s">
        <v>136</v>
      </c>
      <c r="F25" s="11" t="s">
        <v>96</v>
      </c>
      <c r="G25" s="11" t="s">
        <v>553</v>
      </c>
      <c r="H25" s="10">
        <v>35000</v>
      </c>
      <c r="I25" s="10">
        <v>1</v>
      </c>
      <c r="J25" s="12">
        <v>46082</v>
      </c>
      <c r="K25" s="11" t="s">
        <v>497</v>
      </c>
      <c r="L25" s="10">
        <v>500000</v>
      </c>
      <c r="M25" s="10">
        <v>7</v>
      </c>
      <c r="N25" s="10">
        <v>9</v>
      </c>
      <c r="O25" s="11" t="s">
        <v>490</v>
      </c>
      <c r="P25" t="str">
        <f t="shared" si="1"/>
        <v>mohit agarwal</v>
      </c>
      <c r="Q25" s="31" t="str">
        <f t="shared" si="2"/>
        <v>MOHIT AGARWAL</v>
      </c>
      <c r="R25" s="31" t="str">
        <f t="shared" si="3"/>
        <v>Mohit Agarwal</v>
      </c>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 t="str">
        <f>VLOOKUP("*",B2:O52,2,FALSE)</f>
        <v>City</v>
      </c>
    </row>
    <row r="26" spans="1:45" x14ac:dyDescent="0.4">
      <c r="A26" s="11" t="s">
        <v>554</v>
      </c>
      <c r="B26" s="11" t="s">
        <v>555</v>
      </c>
      <c r="C26" s="11" t="s">
        <v>224</v>
      </c>
      <c r="D26" s="10">
        <v>23</v>
      </c>
      <c r="E26" s="11" t="s">
        <v>141</v>
      </c>
      <c r="F26" s="11" t="s">
        <v>506</v>
      </c>
      <c r="G26" s="11" t="s">
        <v>556</v>
      </c>
      <c r="H26" s="10">
        <v>2900</v>
      </c>
      <c r="I26" s="10">
        <v>2</v>
      </c>
      <c r="J26" s="12">
        <v>46084</v>
      </c>
      <c r="K26" s="11" t="s">
        <v>489</v>
      </c>
      <c r="L26" s="10">
        <v>70000</v>
      </c>
      <c r="M26" s="10">
        <v>2</v>
      </c>
      <c r="N26" s="10">
        <v>12.5</v>
      </c>
      <c r="O26" s="11" t="s">
        <v>500</v>
      </c>
      <c r="P26" t="str">
        <f t="shared" si="1"/>
        <v>isha gupta</v>
      </c>
      <c r="Q26" s="31" t="str">
        <f t="shared" si="2"/>
        <v>ISHA GUPTA</v>
      </c>
      <c r="R26" s="31" t="str">
        <f t="shared" si="3"/>
        <v>Isha Gupta</v>
      </c>
      <c r="S26" s="31"/>
      <c r="T26" s="31"/>
      <c r="U26" s="31"/>
      <c r="V26" s="31"/>
      <c r="W26" s="31"/>
      <c r="X26" s="31"/>
      <c r="Y26" s="31"/>
      <c r="Z26" s="31"/>
      <c r="AA26" s="31"/>
      <c r="AB26" s="31"/>
      <c r="AC26" s="31"/>
      <c r="AD26" s="31"/>
      <c r="AE26" s="31"/>
      <c r="AF26" s="31"/>
      <c r="AG26" s="31"/>
      <c r="AH26" s="31"/>
      <c r="AI26" s="31"/>
      <c r="AJ26" s="31"/>
      <c r="AK26" s="31"/>
      <c r="AL26" s="31"/>
      <c r="AM26" s="31"/>
      <c r="AN26" s="31"/>
      <c r="AO26" s="31"/>
      <c r="AP26" s="31"/>
      <c r="AQ26" s="31"/>
    </row>
    <row r="27" spans="1:45" x14ac:dyDescent="0.4">
      <c r="A27" s="11" t="s">
        <v>557</v>
      </c>
      <c r="B27" s="11" t="s">
        <v>558</v>
      </c>
      <c r="C27" s="11" t="s">
        <v>172</v>
      </c>
      <c r="D27" s="10">
        <v>37</v>
      </c>
      <c r="E27" s="11" t="s">
        <v>136</v>
      </c>
      <c r="F27" s="11" t="s">
        <v>89</v>
      </c>
      <c r="G27" s="11" t="s">
        <v>559</v>
      </c>
      <c r="H27" s="10">
        <v>6500</v>
      </c>
      <c r="I27" s="10">
        <v>1</v>
      </c>
      <c r="J27" s="12">
        <v>46086</v>
      </c>
      <c r="K27" s="11" t="s">
        <v>494</v>
      </c>
      <c r="L27" s="10">
        <v>280000</v>
      </c>
      <c r="M27" s="10">
        <v>5</v>
      </c>
      <c r="N27" s="10">
        <v>9.4</v>
      </c>
      <c r="O27" s="11" t="s">
        <v>490</v>
      </c>
      <c r="P27" t="str">
        <f t="shared" si="1"/>
        <v>varun bansal</v>
      </c>
      <c r="Q27" s="31" t="str">
        <f t="shared" si="2"/>
        <v>VARUN BANSAL</v>
      </c>
      <c r="R27" s="31" t="str">
        <f t="shared" si="3"/>
        <v>Varun Bansal</v>
      </c>
      <c r="S27" s="31"/>
      <c r="T27" s="31"/>
      <c r="U27" s="31"/>
      <c r="V27" s="31"/>
      <c r="W27" s="31"/>
      <c r="X27" s="31"/>
      <c r="Y27" s="31"/>
      <c r="Z27" s="31"/>
      <c r="AA27" s="31"/>
      <c r="AB27" s="31"/>
      <c r="AC27" s="31"/>
      <c r="AD27" s="31"/>
      <c r="AE27" s="31"/>
      <c r="AF27" s="31"/>
      <c r="AG27" s="31"/>
      <c r="AH27" s="31"/>
      <c r="AI27" s="31"/>
      <c r="AJ27" s="31"/>
      <c r="AK27" s="31"/>
      <c r="AL27" s="31"/>
      <c r="AM27" s="31"/>
      <c r="AN27" s="31"/>
      <c r="AO27" s="31"/>
      <c r="AP27" s="31"/>
      <c r="AQ27" s="31"/>
    </row>
    <row r="28" spans="1:45" x14ac:dyDescent="0.4">
      <c r="A28" s="11" t="s">
        <v>560</v>
      </c>
      <c r="B28" s="11" t="s">
        <v>561</v>
      </c>
      <c r="C28" s="11" t="s">
        <v>189</v>
      </c>
      <c r="D28" s="10">
        <v>33</v>
      </c>
      <c r="E28" s="11" t="s">
        <v>141</v>
      </c>
      <c r="F28" s="11" t="s">
        <v>510</v>
      </c>
      <c r="G28" s="11" t="s">
        <v>562</v>
      </c>
      <c r="H28" s="10">
        <v>1800</v>
      </c>
      <c r="I28" s="10">
        <v>3</v>
      </c>
      <c r="J28" s="12">
        <v>46088</v>
      </c>
      <c r="K28" s="11" t="s">
        <v>489</v>
      </c>
      <c r="L28" s="10">
        <v>190000</v>
      </c>
      <c r="M28" s="10">
        <v>4</v>
      </c>
      <c r="N28" s="10">
        <v>10.3</v>
      </c>
      <c r="O28" s="11" t="s">
        <v>490</v>
      </c>
      <c r="P28" t="str">
        <f t="shared" si="1"/>
        <v>shweta nair</v>
      </c>
      <c r="Q28" s="31" t="str">
        <f t="shared" si="2"/>
        <v>SHWETA NAIR</v>
      </c>
      <c r="R28" s="31" t="str">
        <f t="shared" si="3"/>
        <v>Shweta Nair</v>
      </c>
      <c r="S28" s="31"/>
      <c r="T28" s="31"/>
      <c r="U28" s="31"/>
      <c r="V28" s="31"/>
      <c r="W28" s="31"/>
      <c r="X28" s="31"/>
      <c r="Y28" s="31"/>
      <c r="Z28" s="31"/>
      <c r="AA28" s="31"/>
      <c r="AB28" s="31"/>
      <c r="AC28" s="31"/>
      <c r="AD28" s="31"/>
      <c r="AE28" s="31"/>
      <c r="AF28" s="31"/>
      <c r="AG28" s="31"/>
      <c r="AH28" s="31"/>
      <c r="AI28" s="31"/>
      <c r="AJ28" s="31"/>
      <c r="AK28" s="31"/>
      <c r="AL28" s="31"/>
      <c r="AM28" s="31"/>
      <c r="AN28" s="31"/>
      <c r="AO28" s="31"/>
      <c r="AP28" s="31"/>
      <c r="AQ28" s="31"/>
    </row>
    <row r="29" spans="1:45" x14ac:dyDescent="0.4">
      <c r="A29" s="11" t="s">
        <v>563</v>
      </c>
      <c r="B29" s="11" t="s">
        <v>564</v>
      </c>
      <c r="C29" s="11" t="s">
        <v>192</v>
      </c>
      <c r="D29" s="10">
        <v>40</v>
      </c>
      <c r="E29" s="11" t="s">
        <v>136</v>
      </c>
      <c r="F29" s="11" t="s">
        <v>89</v>
      </c>
      <c r="G29" s="11" t="s">
        <v>565</v>
      </c>
      <c r="H29" s="10">
        <v>42000</v>
      </c>
      <c r="I29" s="10">
        <v>1</v>
      </c>
      <c r="J29" s="12">
        <v>46091</v>
      </c>
      <c r="K29" s="11" t="s">
        <v>497</v>
      </c>
      <c r="L29" s="10">
        <v>450000</v>
      </c>
      <c r="M29" s="10">
        <v>7</v>
      </c>
      <c r="N29" s="10">
        <v>8.9</v>
      </c>
      <c r="O29" s="11" t="s">
        <v>490</v>
      </c>
      <c r="P29" t="str">
        <f t="shared" si="1"/>
        <v>akash mishra</v>
      </c>
      <c r="Q29" s="31" t="str">
        <f t="shared" si="2"/>
        <v>AKASH MISHRA</v>
      </c>
      <c r="R29" s="31" t="str">
        <f t="shared" si="3"/>
        <v>Akash Mishra</v>
      </c>
      <c r="S29" s="31"/>
      <c r="T29" s="31"/>
      <c r="U29" s="31"/>
      <c r="V29" s="31"/>
      <c r="W29" s="31"/>
      <c r="X29" s="31"/>
      <c r="Y29" s="31"/>
      <c r="Z29" s="31"/>
      <c r="AA29" s="31"/>
      <c r="AB29" s="31"/>
      <c r="AC29" s="31"/>
      <c r="AD29" s="31"/>
      <c r="AE29" s="31"/>
      <c r="AF29" s="31"/>
      <c r="AG29" s="31"/>
      <c r="AH29" s="31"/>
      <c r="AI29" s="31"/>
      <c r="AJ29" s="31"/>
      <c r="AK29" s="31"/>
      <c r="AL29" s="31"/>
      <c r="AM29" s="31"/>
      <c r="AN29" s="31"/>
      <c r="AO29" s="31"/>
      <c r="AP29" s="31"/>
      <c r="AQ29" s="31"/>
    </row>
    <row r="30" spans="1:45" x14ac:dyDescent="0.4">
      <c r="A30" s="11" t="s">
        <v>566</v>
      </c>
      <c r="B30" s="11" t="s">
        <v>567</v>
      </c>
      <c r="C30" s="11" t="s">
        <v>139</v>
      </c>
      <c r="D30" s="10">
        <v>27</v>
      </c>
      <c r="E30" s="11" t="s">
        <v>141</v>
      </c>
      <c r="F30" s="11" t="s">
        <v>492</v>
      </c>
      <c r="G30" s="11" t="s">
        <v>568</v>
      </c>
      <c r="H30" s="10">
        <v>3200</v>
      </c>
      <c r="I30" s="10">
        <v>2</v>
      </c>
      <c r="J30" s="12">
        <v>46093</v>
      </c>
      <c r="K30" s="11" t="s">
        <v>489</v>
      </c>
      <c r="L30" s="10">
        <v>110000</v>
      </c>
      <c r="M30" s="10">
        <v>2</v>
      </c>
      <c r="N30" s="10">
        <v>11</v>
      </c>
      <c r="O30" s="11" t="s">
        <v>490</v>
      </c>
      <c r="P30" t="str">
        <f t="shared" si="1"/>
        <v>tanya sethi</v>
      </c>
      <c r="Q30" s="31" t="str">
        <f t="shared" si="2"/>
        <v>TANYA SETHI</v>
      </c>
      <c r="R30" s="31" t="str">
        <f t="shared" si="3"/>
        <v>Tanya Sethi</v>
      </c>
      <c r="S30" s="31"/>
      <c r="T30" s="31"/>
      <c r="U30" s="31"/>
      <c r="V30" s="31"/>
      <c r="W30" s="31"/>
      <c r="X30" s="31"/>
      <c r="Y30" s="31"/>
      <c r="Z30" s="31"/>
      <c r="AA30" s="31"/>
      <c r="AB30" s="31"/>
      <c r="AC30" s="31"/>
      <c r="AD30" s="31"/>
      <c r="AE30" s="31"/>
      <c r="AF30" s="31"/>
      <c r="AG30" s="31"/>
      <c r="AH30" s="31"/>
      <c r="AI30" s="31"/>
      <c r="AJ30" s="31"/>
      <c r="AK30" s="31"/>
      <c r="AL30" s="31"/>
      <c r="AM30" s="31"/>
      <c r="AN30" s="31"/>
      <c r="AO30" s="31"/>
      <c r="AP30" s="31"/>
      <c r="AQ30" s="31"/>
    </row>
    <row r="31" spans="1:45" x14ac:dyDescent="0.4">
      <c r="A31" s="11" t="s">
        <v>569</v>
      </c>
      <c r="B31" s="11" t="s">
        <v>570</v>
      </c>
      <c r="C31" s="11" t="s">
        <v>150</v>
      </c>
      <c r="D31" s="10">
        <v>46</v>
      </c>
      <c r="E31" s="11" t="s">
        <v>136</v>
      </c>
      <c r="F31" s="11" t="s">
        <v>96</v>
      </c>
      <c r="G31" s="11" t="s">
        <v>571</v>
      </c>
      <c r="H31" s="10">
        <v>25000</v>
      </c>
      <c r="I31" s="10">
        <v>1</v>
      </c>
      <c r="J31" s="12">
        <v>46096</v>
      </c>
      <c r="K31" s="11" t="s">
        <v>494</v>
      </c>
      <c r="L31" s="10">
        <v>525000</v>
      </c>
      <c r="M31" s="10">
        <v>8</v>
      </c>
      <c r="N31" s="10">
        <v>8.6</v>
      </c>
      <c r="O31" s="11" t="s">
        <v>490</v>
      </c>
      <c r="P31" t="str">
        <f t="shared" si="1"/>
        <v>sanjay rao</v>
      </c>
      <c r="Q31" s="31" t="str">
        <f t="shared" si="2"/>
        <v>SANJAY RAO</v>
      </c>
      <c r="R31" s="31" t="str">
        <f t="shared" si="3"/>
        <v>Sanjay Rao</v>
      </c>
      <c r="S31" s="31"/>
      <c r="T31" s="31"/>
      <c r="U31" s="31"/>
      <c r="V31" s="31"/>
      <c r="W31" s="31"/>
      <c r="X31" s="31"/>
      <c r="Y31" s="31"/>
      <c r="Z31" s="31"/>
      <c r="AA31" s="31"/>
      <c r="AB31" s="31"/>
      <c r="AC31" s="31"/>
      <c r="AD31" s="31"/>
      <c r="AE31" s="31"/>
      <c r="AF31" s="31"/>
      <c r="AG31" s="31"/>
      <c r="AH31" s="31"/>
      <c r="AI31" s="31"/>
      <c r="AJ31" s="31"/>
      <c r="AK31" s="31"/>
      <c r="AL31" s="31"/>
      <c r="AM31" s="31"/>
      <c r="AN31" s="31"/>
      <c r="AO31" s="31"/>
      <c r="AP31" s="31"/>
      <c r="AQ31" s="31"/>
    </row>
    <row r="32" spans="1:45" x14ac:dyDescent="0.4">
      <c r="A32" s="11" t="s">
        <v>572</v>
      </c>
      <c r="B32" s="11" t="s">
        <v>573</v>
      </c>
      <c r="C32" s="11" t="s">
        <v>168</v>
      </c>
      <c r="D32" s="10">
        <v>31</v>
      </c>
      <c r="E32" s="11" t="s">
        <v>141</v>
      </c>
      <c r="F32" s="11" t="s">
        <v>506</v>
      </c>
      <c r="G32" s="11" t="s">
        <v>574</v>
      </c>
      <c r="H32" s="10">
        <v>950</v>
      </c>
      <c r="I32" s="10">
        <v>4</v>
      </c>
      <c r="J32" s="12">
        <v>46098</v>
      </c>
      <c r="K32" s="11" t="s">
        <v>489</v>
      </c>
      <c r="L32" s="10">
        <v>145000</v>
      </c>
      <c r="M32" s="10">
        <v>3</v>
      </c>
      <c r="N32" s="10">
        <v>10.8</v>
      </c>
      <c r="O32" s="11" t="s">
        <v>490</v>
      </c>
      <c r="P32" t="str">
        <f t="shared" si="1"/>
        <v>nisha patel</v>
      </c>
      <c r="Q32" s="31" t="str">
        <f t="shared" si="2"/>
        <v>NISHA PATEL</v>
      </c>
      <c r="R32" s="31" t="str">
        <f t="shared" si="3"/>
        <v>Nisha Patel</v>
      </c>
      <c r="S32" s="31"/>
      <c r="T32" s="31"/>
      <c r="U32" s="31"/>
      <c r="V32" s="31"/>
      <c r="W32" s="31"/>
      <c r="X32" s="31"/>
      <c r="Y32" s="31"/>
      <c r="Z32" s="31"/>
      <c r="AA32" s="31"/>
      <c r="AB32" s="31"/>
      <c r="AC32" s="31"/>
      <c r="AD32" s="31"/>
      <c r="AE32" s="31"/>
      <c r="AF32" s="31"/>
      <c r="AG32" s="31"/>
      <c r="AH32" s="31"/>
      <c r="AI32" s="31"/>
      <c r="AJ32" s="31"/>
      <c r="AK32" s="31"/>
      <c r="AL32" s="31"/>
      <c r="AM32" s="31"/>
      <c r="AN32" s="31"/>
      <c r="AO32" s="31"/>
      <c r="AP32" s="31"/>
      <c r="AQ32" s="31"/>
    </row>
    <row r="33" spans="1:43" x14ac:dyDescent="0.4">
      <c r="A33" s="11" t="s">
        <v>575</v>
      </c>
      <c r="B33" s="11" t="s">
        <v>576</v>
      </c>
      <c r="C33" s="11" t="s">
        <v>577</v>
      </c>
      <c r="D33" s="10">
        <v>35</v>
      </c>
      <c r="E33" s="11" t="s">
        <v>136</v>
      </c>
      <c r="F33" s="11" t="s">
        <v>89</v>
      </c>
      <c r="G33" s="11" t="s">
        <v>104</v>
      </c>
      <c r="H33" s="10">
        <v>12500</v>
      </c>
      <c r="I33" s="10">
        <v>1</v>
      </c>
      <c r="J33" s="12">
        <v>46101</v>
      </c>
      <c r="K33" s="11" t="s">
        <v>497</v>
      </c>
      <c r="L33" s="10">
        <v>260000</v>
      </c>
      <c r="M33" s="10">
        <v>5</v>
      </c>
      <c r="N33" s="10">
        <v>9.6999999999999993</v>
      </c>
      <c r="O33" s="11" t="s">
        <v>490</v>
      </c>
      <c r="P33" t="str">
        <f t="shared" si="1"/>
        <v>abhishek roy</v>
      </c>
      <c r="Q33" s="31" t="str">
        <f t="shared" si="2"/>
        <v>ABHISHEK ROY</v>
      </c>
      <c r="R33" s="31" t="str">
        <f t="shared" si="3"/>
        <v>Abhishek Roy</v>
      </c>
      <c r="S33" s="31"/>
      <c r="T33" s="31"/>
      <c r="U33" s="31"/>
      <c r="V33" s="31"/>
      <c r="W33" s="31"/>
      <c r="X33" s="31"/>
      <c r="Y33" s="31"/>
      <c r="Z33" s="31"/>
      <c r="AA33" s="31"/>
      <c r="AB33" s="31"/>
      <c r="AC33" s="31"/>
      <c r="AD33" s="31"/>
      <c r="AE33" s="31"/>
      <c r="AF33" s="31"/>
      <c r="AG33" s="31"/>
      <c r="AH33" s="31"/>
      <c r="AI33" s="31"/>
      <c r="AJ33" s="31"/>
      <c r="AK33" s="31"/>
      <c r="AL33" s="31"/>
      <c r="AM33" s="31"/>
      <c r="AN33" s="31"/>
      <c r="AO33" s="31"/>
      <c r="AP33" s="31"/>
      <c r="AQ33" s="31"/>
    </row>
    <row r="34" spans="1:43" x14ac:dyDescent="0.4">
      <c r="A34" s="11" t="s">
        <v>578</v>
      </c>
      <c r="B34" s="11" t="s">
        <v>579</v>
      </c>
      <c r="C34" s="11" t="s">
        <v>139</v>
      </c>
      <c r="D34" s="10">
        <v>26</v>
      </c>
      <c r="E34" s="11" t="s">
        <v>141</v>
      </c>
      <c r="F34" s="11" t="s">
        <v>492</v>
      </c>
      <c r="G34" s="11" t="s">
        <v>580</v>
      </c>
      <c r="H34" s="10">
        <v>1200</v>
      </c>
      <c r="I34" s="10">
        <v>3</v>
      </c>
      <c r="J34" s="12">
        <v>46103</v>
      </c>
      <c r="K34" s="11" t="s">
        <v>489</v>
      </c>
      <c r="L34" s="10">
        <v>95000</v>
      </c>
      <c r="M34" s="10">
        <v>2</v>
      </c>
      <c r="N34" s="10">
        <v>11.4</v>
      </c>
      <c r="O34" s="11" t="s">
        <v>500</v>
      </c>
      <c r="P34" t="str">
        <f t="shared" si="1"/>
        <v>komal sharma</v>
      </c>
      <c r="Q34" s="31" t="str">
        <f t="shared" si="2"/>
        <v>KOMAL SHARMA</v>
      </c>
      <c r="R34" s="31" t="str">
        <f t="shared" si="3"/>
        <v>Komal Sharma</v>
      </c>
      <c r="S34" s="31"/>
      <c r="T34" s="31"/>
      <c r="U34" s="31"/>
      <c r="V34" s="31"/>
      <c r="W34" s="31"/>
      <c r="X34" s="31"/>
      <c r="Y34" s="31"/>
      <c r="Z34" s="31"/>
      <c r="AA34" s="31"/>
      <c r="AB34" s="31"/>
      <c r="AC34" s="31"/>
      <c r="AD34" s="31"/>
      <c r="AE34" s="31"/>
      <c r="AF34" s="31"/>
      <c r="AG34" s="31"/>
      <c r="AH34" s="31"/>
      <c r="AI34" s="31"/>
      <c r="AJ34" s="31"/>
      <c r="AK34" s="31"/>
      <c r="AL34" s="31"/>
      <c r="AM34" s="31"/>
      <c r="AN34" s="31"/>
      <c r="AO34" s="31"/>
      <c r="AP34" s="31"/>
      <c r="AQ34" s="31"/>
    </row>
    <row r="35" spans="1:43" x14ac:dyDescent="0.4">
      <c r="A35" s="11" t="s">
        <v>581</v>
      </c>
      <c r="B35" s="11" t="s">
        <v>582</v>
      </c>
      <c r="C35" s="11" t="s">
        <v>185</v>
      </c>
      <c r="D35" s="10">
        <v>43</v>
      </c>
      <c r="E35" s="11" t="s">
        <v>136</v>
      </c>
      <c r="F35" s="11" t="s">
        <v>510</v>
      </c>
      <c r="G35" s="11" t="s">
        <v>583</v>
      </c>
      <c r="H35" s="10">
        <v>1600</v>
      </c>
      <c r="I35" s="10">
        <v>5</v>
      </c>
      <c r="J35" s="12">
        <v>46105</v>
      </c>
      <c r="K35" s="11" t="s">
        <v>512</v>
      </c>
      <c r="L35" s="10">
        <v>375000</v>
      </c>
      <c r="M35" s="10">
        <v>6</v>
      </c>
      <c r="N35" s="10">
        <v>9.1</v>
      </c>
      <c r="O35" s="11" t="s">
        <v>490</v>
      </c>
      <c r="P35" t="str">
        <f t="shared" si="1"/>
        <v>ravi thakur</v>
      </c>
      <c r="Q35" s="31" t="str">
        <f t="shared" si="2"/>
        <v>RAVI THAKUR</v>
      </c>
      <c r="R35" s="31" t="str">
        <f t="shared" si="3"/>
        <v>Ravi Thakur</v>
      </c>
      <c r="S35" s="31"/>
      <c r="T35" s="31"/>
      <c r="U35" s="31"/>
      <c r="V35" s="31"/>
      <c r="W35" s="31"/>
      <c r="X35" s="31"/>
      <c r="Y35" s="31"/>
      <c r="Z35" s="31"/>
      <c r="AA35" s="31"/>
      <c r="AB35" s="31"/>
      <c r="AC35" s="31"/>
      <c r="AD35" s="31"/>
      <c r="AE35" s="31"/>
      <c r="AF35" s="31"/>
      <c r="AG35" s="31"/>
      <c r="AH35" s="31"/>
      <c r="AI35" s="31"/>
      <c r="AJ35" s="31"/>
      <c r="AK35" s="31"/>
      <c r="AL35" s="31"/>
      <c r="AM35" s="31"/>
      <c r="AN35" s="31"/>
      <c r="AO35" s="31"/>
      <c r="AP35" s="31"/>
      <c r="AQ35" s="31"/>
    </row>
    <row r="36" spans="1:43" x14ac:dyDescent="0.4">
      <c r="A36" s="11" t="s">
        <v>584</v>
      </c>
      <c r="B36" s="11" t="s">
        <v>585</v>
      </c>
      <c r="C36" s="11" t="s">
        <v>224</v>
      </c>
      <c r="D36" s="10">
        <v>30</v>
      </c>
      <c r="E36" s="11" t="s">
        <v>141</v>
      </c>
      <c r="F36" s="11" t="s">
        <v>520</v>
      </c>
      <c r="G36" s="11" t="s">
        <v>586</v>
      </c>
      <c r="H36" s="10">
        <v>8500</v>
      </c>
      <c r="I36" s="10">
        <v>1</v>
      </c>
      <c r="J36" s="12">
        <v>46107</v>
      </c>
      <c r="K36" s="11" t="s">
        <v>494</v>
      </c>
      <c r="L36" s="10">
        <v>210000</v>
      </c>
      <c r="M36" s="10">
        <v>4</v>
      </c>
      <c r="N36" s="10">
        <v>10</v>
      </c>
      <c r="O36" s="11" t="s">
        <v>490</v>
      </c>
      <c r="P36" t="str">
        <f t="shared" si="1"/>
        <v>preeti gupta</v>
      </c>
      <c r="Q36" s="31" t="str">
        <f t="shared" si="2"/>
        <v>PREETI GUPTA</v>
      </c>
      <c r="R36" s="31" t="str">
        <f t="shared" si="3"/>
        <v>Preeti Gupta</v>
      </c>
      <c r="S36" s="31"/>
      <c r="T36" s="31"/>
      <c r="U36" s="31"/>
      <c r="V36" s="31"/>
      <c r="W36" s="31"/>
      <c r="X36" s="31"/>
      <c r="Y36" s="31"/>
      <c r="Z36" s="31"/>
      <c r="AA36" s="31"/>
      <c r="AB36" s="31"/>
      <c r="AC36" s="31"/>
      <c r="AD36" s="31"/>
      <c r="AE36" s="31"/>
      <c r="AF36" s="31"/>
      <c r="AG36" s="31"/>
      <c r="AH36" s="31"/>
      <c r="AI36" s="31"/>
      <c r="AJ36" s="31"/>
      <c r="AK36" s="31"/>
      <c r="AL36" s="31"/>
      <c r="AM36" s="31"/>
      <c r="AN36" s="31"/>
      <c r="AO36" s="31"/>
      <c r="AP36" s="31"/>
      <c r="AQ36" s="31"/>
    </row>
    <row r="37" spans="1:43" x14ac:dyDescent="0.4">
      <c r="A37" s="11" t="s">
        <v>587</v>
      </c>
      <c r="B37" s="11" t="s">
        <v>588</v>
      </c>
      <c r="C37" s="11" t="s">
        <v>139</v>
      </c>
      <c r="D37" s="10">
        <v>49</v>
      </c>
      <c r="E37" s="11" t="s">
        <v>136</v>
      </c>
      <c r="F37" s="11" t="s">
        <v>89</v>
      </c>
      <c r="G37" s="11" t="s">
        <v>589</v>
      </c>
      <c r="H37" s="10">
        <v>30000</v>
      </c>
      <c r="I37" s="10">
        <v>1</v>
      </c>
      <c r="J37" s="12">
        <v>46109</v>
      </c>
      <c r="K37" s="11" t="s">
        <v>489</v>
      </c>
      <c r="L37" s="10">
        <v>650000</v>
      </c>
      <c r="M37" s="10">
        <v>10</v>
      </c>
      <c r="N37" s="10">
        <v>8.4</v>
      </c>
      <c r="O37" s="11" t="s">
        <v>490</v>
      </c>
      <c r="P37" t="str">
        <f t="shared" si="1"/>
        <v>ajay kumar</v>
      </c>
      <c r="Q37" s="31" t="str">
        <f t="shared" si="2"/>
        <v>AJAY KUMAR</v>
      </c>
      <c r="R37" s="31" t="str">
        <f t="shared" si="3"/>
        <v>Ajay Kumar</v>
      </c>
      <c r="S37" s="31"/>
      <c r="T37" s="31"/>
      <c r="U37" s="31"/>
      <c r="V37" s="31"/>
      <c r="W37" s="31"/>
      <c r="X37" s="31"/>
      <c r="Y37" s="31"/>
      <c r="Z37" s="31"/>
      <c r="AA37" s="31"/>
      <c r="AB37" s="31"/>
      <c r="AC37" s="31"/>
      <c r="AD37" s="31"/>
      <c r="AE37" s="31"/>
      <c r="AF37" s="31"/>
      <c r="AG37" s="31"/>
      <c r="AH37" s="31"/>
      <c r="AI37" s="31"/>
      <c r="AJ37" s="31"/>
      <c r="AK37" s="31"/>
      <c r="AL37" s="31"/>
      <c r="AM37" s="31"/>
      <c r="AN37" s="31"/>
      <c r="AO37" s="31"/>
      <c r="AP37" s="31"/>
      <c r="AQ37" s="31"/>
    </row>
    <row r="38" spans="1:43" x14ac:dyDescent="0.4">
      <c r="A38" s="11" t="s">
        <v>590</v>
      </c>
      <c r="B38" s="11" t="s">
        <v>591</v>
      </c>
      <c r="C38" s="11" t="s">
        <v>172</v>
      </c>
      <c r="D38" s="10">
        <v>28</v>
      </c>
      <c r="E38" s="11" t="s">
        <v>141</v>
      </c>
      <c r="F38" s="11" t="s">
        <v>492</v>
      </c>
      <c r="G38" s="11" t="s">
        <v>592</v>
      </c>
      <c r="H38" s="10">
        <v>4500</v>
      </c>
      <c r="I38" s="10">
        <v>1</v>
      </c>
      <c r="J38" s="12">
        <v>46111</v>
      </c>
      <c r="K38" s="11" t="s">
        <v>489</v>
      </c>
      <c r="L38" s="10">
        <v>125000</v>
      </c>
      <c r="M38" s="10">
        <v>3</v>
      </c>
      <c r="N38" s="10">
        <v>10.7</v>
      </c>
      <c r="O38" s="11" t="s">
        <v>490</v>
      </c>
      <c r="P38" t="str">
        <f t="shared" si="1"/>
        <v>mansi jain</v>
      </c>
      <c r="Q38" s="31" t="str">
        <f t="shared" si="2"/>
        <v>MANSI JAIN</v>
      </c>
      <c r="R38" s="31" t="str">
        <f t="shared" si="3"/>
        <v>Mansi Jain</v>
      </c>
      <c r="S38" s="31"/>
      <c r="T38" s="31"/>
      <c r="U38" s="31"/>
      <c r="V38" s="31"/>
      <c r="W38" s="31"/>
      <c r="X38" s="31"/>
      <c r="Y38" s="31"/>
      <c r="Z38" s="31"/>
      <c r="AA38" s="31"/>
      <c r="AB38" s="31"/>
      <c r="AC38" s="31"/>
      <c r="AD38" s="31"/>
      <c r="AE38" s="31"/>
      <c r="AF38" s="31"/>
      <c r="AG38" s="31"/>
      <c r="AH38" s="31"/>
      <c r="AI38" s="31"/>
      <c r="AJ38" s="31"/>
      <c r="AK38" s="31"/>
      <c r="AL38" s="31"/>
      <c r="AM38" s="31"/>
      <c r="AN38" s="31"/>
      <c r="AO38" s="31"/>
      <c r="AP38" s="31"/>
      <c r="AQ38" s="31"/>
    </row>
    <row r="39" spans="1:43" x14ac:dyDescent="0.4">
      <c r="A39" s="11" t="s">
        <v>593</v>
      </c>
      <c r="B39" s="11" t="s">
        <v>594</v>
      </c>
      <c r="C39" s="11" t="s">
        <v>502</v>
      </c>
      <c r="D39" s="10">
        <v>52</v>
      </c>
      <c r="E39" s="11" t="s">
        <v>136</v>
      </c>
      <c r="F39" s="11" t="s">
        <v>96</v>
      </c>
      <c r="G39" s="11" t="s">
        <v>595</v>
      </c>
      <c r="H39" s="10">
        <v>32000</v>
      </c>
      <c r="I39" s="10">
        <v>1</v>
      </c>
      <c r="J39" s="12">
        <v>46114</v>
      </c>
      <c r="K39" s="11" t="s">
        <v>497</v>
      </c>
      <c r="L39" s="10">
        <v>700000</v>
      </c>
      <c r="M39" s="10">
        <v>10</v>
      </c>
      <c r="N39" s="10">
        <v>8.3000000000000007</v>
      </c>
      <c r="O39" s="11" t="s">
        <v>490</v>
      </c>
      <c r="P39" t="str">
        <f t="shared" si="1"/>
        <v>prakash singh</v>
      </c>
      <c r="Q39" s="31" t="str">
        <f t="shared" si="2"/>
        <v>PRAKASH SINGH</v>
      </c>
      <c r="R39" s="31" t="str">
        <f t="shared" si="3"/>
        <v>Prakash Singh</v>
      </c>
      <c r="S39" s="31"/>
      <c r="T39" s="31"/>
      <c r="U39" s="31"/>
      <c r="V39" s="31"/>
      <c r="W39" s="31"/>
      <c r="X39" s="31"/>
      <c r="Y39" s="31"/>
      <c r="Z39" s="31"/>
      <c r="AA39" s="31"/>
      <c r="AB39" s="31"/>
      <c r="AC39" s="31"/>
      <c r="AD39" s="31"/>
      <c r="AE39" s="31"/>
      <c r="AF39" s="31"/>
      <c r="AG39" s="31"/>
      <c r="AH39" s="31"/>
      <c r="AI39" s="31"/>
      <c r="AJ39" s="31"/>
      <c r="AK39" s="31"/>
      <c r="AL39" s="31"/>
      <c r="AM39" s="31"/>
      <c r="AN39" s="31"/>
      <c r="AO39" s="31"/>
      <c r="AP39" s="31"/>
      <c r="AQ39" s="31"/>
    </row>
    <row r="40" spans="1:43" x14ac:dyDescent="0.4">
      <c r="A40" s="11" t="s">
        <v>596</v>
      </c>
      <c r="B40" s="11" t="s">
        <v>597</v>
      </c>
      <c r="C40" s="11" t="s">
        <v>577</v>
      </c>
      <c r="D40" s="10">
        <v>25</v>
      </c>
      <c r="E40" s="11" t="s">
        <v>141</v>
      </c>
      <c r="F40" s="11" t="s">
        <v>506</v>
      </c>
      <c r="G40" s="11" t="s">
        <v>598</v>
      </c>
      <c r="H40" s="10">
        <v>750</v>
      </c>
      <c r="I40" s="10">
        <v>5</v>
      </c>
      <c r="J40" s="12">
        <v>46116</v>
      </c>
      <c r="K40" s="11" t="s">
        <v>494</v>
      </c>
      <c r="L40" s="10">
        <v>60000</v>
      </c>
      <c r="M40" s="10">
        <v>2</v>
      </c>
      <c r="N40" s="10">
        <v>12.8</v>
      </c>
      <c r="O40" s="11" t="s">
        <v>500</v>
      </c>
      <c r="P40" t="str">
        <f t="shared" si="1"/>
        <v>ritika das</v>
      </c>
      <c r="Q40" s="31" t="str">
        <f t="shared" si="2"/>
        <v>RITIKA DAS</v>
      </c>
      <c r="R40" s="31" t="str">
        <f t="shared" si="3"/>
        <v>Ritika Das</v>
      </c>
      <c r="S40" s="31"/>
      <c r="T40" s="31"/>
      <c r="U40" s="31"/>
      <c r="V40" s="31"/>
      <c r="W40" s="31"/>
      <c r="X40" s="31"/>
      <c r="Y40" s="31"/>
      <c r="Z40" s="31"/>
      <c r="AA40" s="31"/>
      <c r="AB40" s="31"/>
      <c r="AC40" s="31"/>
      <c r="AD40" s="31"/>
      <c r="AE40" s="31"/>
      <c r="AF40" s="31"/>
      <c r="AG40" s="31"/>
      <c r="AH40" s="31"/>
      <c r="AI40" s="31"/>
      <c r="AJ40" s="31"/>
      <c r="AK40" s="31"/>
      <c r="AL40" s="31"/>
      <c r="AM40" s="31"/>
      <c r="AN40" s="31"/>
      <c r="AO40" s="31"/>
      <c r="AP40" s="31"/>
      <c r="AQ40" s="31"/>
    </row>
    <row r="41" spans="1:43" x14ac:dyDescent="0.4">
      <c r="A41" s="11" t="s">
        <v>599</v>
      </c>
      <c r="B41" s="11" t="s">
        <v>600</v>
      </c>
      <c r="C41" s="11" t="s">
        <v>192</v>
      </c>
      <c r="D41" s="10">
        <v>36</v>
      </c>
      <c r="E41" s="11" t="s">
        <v>136</v>
      </c>
      <c r="F41" s="11" t="s">
        <v>89</v>
      </c>
      <c r="G41" s="11" t="s">
        <v>601</v>
      </c>
      <c r="H41" s="10">
        <v>38000</v>
      </c>
      <c r="I41" s="10">
        <v>1</v>
      </c>
      <c r="J41" s="12">
        <v>46118</v>
      </c>
      <c r="K41" s="11" t="s">
        <v>489</v>
      </c>
      <c r="L41" s="10">
        <v>325000</v>
      </c>
      <c r="M41" s="10">
        <v>5</v>
      </c>
      <c r="N41" s="10">
        <v>9.5</v>
      </c>
      <c r="O41" s="11" t="s">
        <v>490</v>
      </c>
      <c r="P41" t="str">
        <f t="shared" si="1"/>
        <v>manoj yadav</v>
      </c>
      <c r="Q41" s="31" t="str">
        <f t="shared" si="2"/>
        <v>MANOJ YADAV</v>
      </c>
      <c r="R41" s="31" t="str">
        <f t="shared" si="3"/>
        <v>Manoj Yadav</v>
      </c>
      <c r="S41" s="31"/>
      <c r="T41" s="31"/>
      <c r="U41" s="31"/>
      <c r="V41" s="31"/>
      <c r="W41" s="31"/>
      <c r="X41" s="31"/>
      <c r="Y41" s="31"/>
      <c r="Z41" s="31"/>
      <c r="AA41" s="31"/>
      <c r="AB41" s="31"/>
      <c r="AC41" s="31"/>
      <c r="AD41" s="31"/>
      <c r="AE41" s="31"/>
      <c r="AF41" s="31"/>
      <c r="AG41" s="31"/>
      <c r="AH41" s="31"/>
      <c r="AI41" s="31"/>
      <c r="AJ41" s="31"/>
      <c r="AK41" s="31"/>
      <c r="AL41" s="31"/>
      <c r="AM41" s="31"/>
      <c r="AN41" s="31"/>
      <c r="AO41" s="31"/>
      <c r="AP41" s="31"/>
      <c r="AQ41" s="31"/>
    </row>
    <row r="42" spans="1:43" x14ac:dyDescent="0.4">
      <c r="A42" s="11" t="s">
        <v>602</v>
      </c>
      <c r="B42" s="11" t="s">
        <v>603</v>
      </c>
      <c r="C42" s="11" t="s">
        <v>154</v>
      </c>
      <c r="D42" s="10">
        <v>32</v>
      </c>
      <c r="E42" s="11" t="s">
        <v>141</v>
      </c>
      <c r="F42" s="11" t="s">
        <v>510</v>
      </c>
      <c r="G42" s="11" t="s">
        <v>604</v>
      </c>
      <c r="H42" s="10">
        <v>650</v>
      </c>
      <c r="I42" s="10">
        <v>6</v>
      </c>
      <c r="J42" s="12">
        <v>46120</v>
      </c>
      <c r="K42" s="11" t="s">
        <v>489</v>
      </c>
      <c r="L42" s="10">
        <v>155000</v>
      </c>
      <c r="M42" s="10">
        <v>3</v>
      </c>
      <c r="N42" s="10">
        <v>10.199999999999999</v>
      </c>
      <c r="O42" s="11" t="s">
        <v>490</v>
      </c>
      <c r="P42" t="str">
        <f t="shared" si="1"/>
        <v>sakshi mehta</v>
      </c>
      <c r="Q42" s="31" t="str">
        <f t="shared" si="2"/>
        <v>SAKSHI MEHTA</v>
      </c>
      <c r="R42" s="31" t="str">
        <f t="shared" si="3"/>
        <v>Sakshi Mehta</v>
      </c>
      <c r="S42" s="31"/>
      <c r="T42" s="31"/>
      <c r="U42" s="31"/>
      <c r="V42" s="31"/>
      <c r="W42" s="31"/>
      <c r="X42" s="31"/>
      <c r="Y42" s="31"/>
      <c r="Z42" s="31"/>
      <c r="AA42" s="31"/>
      <c r="AB42" s="31"/>
      <c r="AC42" s="31"/>
      <c r="AD42" s="31"/>
      <c r="AE42" s="31"/>
      <c r="AF42" s="31"/>
      <c r="AG42" s="31"/>
      <c r="AH42" s="31"/>
      <c r="AI42" s="31"/>
      <c r="AJ42" s="31"/>
      <c r="AK42" s="31"/>
      <c r="AL42" s="31"/>
      <c r="AM42" s="31"/>
      <c r="AN42" s="31"/>
      <c r="AO42" s="31"/>
      <c r="AP42" s="31"/>
      <c r="AQ42" s="31"/>
    </row>
    <row r="43" spans="1:43" x14ac:dyDescent="0.4">
      <c r="A43" s="11" t="s">
        <v>605</v>
      </c>
      <c r="B43" s="11" t="s">
        <v>606</v>
      </c>
      <c r="C43" s="11" t="s">
        <v>139</v>
      </c>
      <c r="D43" s="10">
        <v>29</v>
      </c>
      <c r="E43" s="11" t="s">
        <v>141</v>
      </c>
      <c r="F43" s="11" t="s">
        <v>89</v>
      </c>
      <c r="G43" s="11" t="s">
        <v>607</v>
      </c>
      <c r="H43" s="10">
        <v>2200</v>
      </c>
      <c r="I43" s="10">
        <v>2</v>
      </c>
      <c r="J43" s="12">
        <v>46122</v>
      </c>
      <c r="K43" s="11" t="s">
        <v>494</v>
      </c>
      <c r="L43" s="10">
        <v>100000</v>
      </c>
      <c r="M43" s="10">
        <v>2</v>
      </c>
      <c r="N43" s="10">
        <v>11.6</v>
      </c>
      <c r="O43" s="11" t="s">
        <v>490</v>
      </c>
      <c r="P43" t="str">
        <f t="shared" si="1"/>
        <v>varsha kapoor</v>
      </c>
      <c r="Q43" s="31" t="str">
        <f t="shared" si="2"/>
        <v>VARSHA KAPOOR</v>
      </c>
      <c r="R43" s="31" t="str">
        <f t="shared" si="3"/>
        <v>Varsha Kapoor</v>
      </c>
      <c r="S43" s="31"/>
      <c r="T43" s="31"/>
      <c r="U43" s="31"/>
      <c r="V43" s="31"/>
      <c r="W43" s="31"/>
      <c r="X43" s="31"/>
      <c r="Y43" s="31"/>
      <c r="Z43" s="31"/>
      <c r="AA43" s="31"/>
      <c r="AB43" s="31"/>
      <c r="AC43" s="31"/>
      <c r="AD43" s="31"/>
      <c r="AE43" s="31"/>
      <c r="AF43" s="31"/>
      <c r="AG43" s="31"/>
      <c r="AH43" s="31"/>
      <c r="AI43" s="31"/>
      <c r="AJ43" s="31"/>
      <c r="AK43" s="31"/>
      <c r="AL43" s="31"/>
      <c r="AM43" s="31"/>
      <c r="AN43" s="31"/>
      <c r="AO43" s="31"/>
      <c r="AP43" s="31"/>
      <c r="AQ43" s="31"/>
    </row>
    <row r="44" spans="1:43" x14ac:dyDescent="0.4">
      <c r="A44" s="11" t="s">
        <v>608</v>
      </c>
      <c r="B44" s="11" t="s">
        <v>609</v>
      </c>
      <c r="C44" s="11" t="s">
        <v>168</v>
      </c>
      <c r="D44" s="10">
        <v>45</v>
      </c>
      <c r="E44" s="11" t="s">
        <v>136</v>
      </c>
      <c r="F44" s="11" t="s">
        <v>96</v>
      </c>
      <c r="G44" s="11" t="s">
        <v>95</v>
      </c>
      <c r="H44" s="10">
        <v>7500</v>
      </c>
      <c r="I44" s="10">
        <v>2</v>
      </c>
      <c r="J44" s="12">
        <v>46124</v>
      </c>
      <c r="K44" s="11" t="s">
        <v>497</v>
      </c>
      <c r="L44" s="10">
        <v>420000</v>
      </c>
      <c r="M44" s="10">
        <v>6</v>
      </c>
      <c r="N44" s="10">
        <v>9</v>
      </c>
      <c r="O44" s="11" t="s">
        <v>490</v>
      </c>
      <c r="P44" t="str">
        <f t="shared" si="1"/>
        <v>harish patel</v>
      </c>
      <c r="Q44" s="31" t="str">
        <f t="shared" si="2"/>
        <v>HARISH PATEL</v>
      </c>
      <c r="R44" s="31" t="str">
        <f t="shared" si="3"/>
        <v>Harish Patel</v>
      </c>
      <c r="S44" s="31"/>
      <c r="T44" s="31"/>
      <c r="U44" s="31"/>
      <c r="V44" s="31"/>
      <c r="W44" s="31"/>
      <c r="X44" s="31"/>
      <c r="Y44" s="31"/>
      <c r="Z44" s="31"/>
      <c r="AA44" s="31"/>
      <c r="AB44" s="31"/>
      <c r="AC44" s="31"/>
      <c r="AD44" s="31"/>
      <c r="AE44" s="31"/>
      <c r="AF44" s="31"/>
      <c r="AG44" s="31"/>
      <c r="AH44" s="31"/>
      <c r="AI44" s="31"/>
      <c r="AJ44" s="31"/>
      <c r="AK44" s="31"/>
      <c r="AL44" s="31"/>
      <c r="AM44" s="31"/>
      <c r="AN44" s="31"/>
      <c r="AO44" s="31"/>
      <c r="AP44" s="31"/>
      <c r="AQ44" s="31"/>
    </row>
    <row r="45" spans="1:43" x14ac:dyDescent="0.4">
      <c r="A45" s="11" t="s">
        <v>610</v>
      </c>
      <c r="B45" s="11" t="s">
        <v>611</v>
      </c>
      <c r="C45" s="11" t="s">
        <v>224</v>
      </c>
      <c r="D45" s="10">
        <v>34</v>
      </c>
      <c r="E45" s="11" t="s">
        <v>141</v>
      </c>
      <c r="F45" s="11" t="s">
        <v>492</v>
      </c>
      <c r="G45" s="11" t="s">
        <v>612</v>
      </c>
      <c r="H45" s="10">
        <v>1800</v>
      </c>
      <c r="I45" s="10">
        <v>3</v>
      </c>
      <c r="J45" s="12">
        <v>46127</v>
      </c>
      <c r="K45" s="11" t="s">
        <v>489</v>
      </c>
      <c r="L45" s="10">
        <v>140000</v>
      </c>
      <c r="M45" s="10">
        <v>3</v>
      </c>
      <c r="N45" s="10">
        <v>10.5</v>
      </c>
      <c r="O45" s="11" t="s">
        <v>490</v>
      </c>
      <c r="P45" t="str">
        <f t="shared" si="1"/>
        <v>neelam verma</v>
      </c>
      <c r="Q45" s="31" t="str">
        <f t="shared" si="2"/>
        <v>NEELAM VERMA</v>
      </c>
      <c r="R45" s="31" t="str">
        <f t="shared" si="3"/>
        <v>Neelam Verma</v>
      </c>
      <c r="S45" s="31"/>
      <c r="T45" s="31"/>
      <c r="U45" s="31"/>
      <c r="V45" s="31"/>
      <c r="W45" s="31"/>
      <c r="X45" s="31"/>
      <c r="Y45" s="31"/>
      <c r="Z45" s="31"/>
      <c r="AA45" s="31"/>
      <c r="AB45" s="31"/>
      <c r="AC45" s="31"/>
      <c r="AD45" s="31"/>
      <c r="AE45" s="31"/>
      <c r="AF45" s="31"/>
      <c r="AG45" s="31"/>
      <c r="AH45" s="31"/>
      <c r="AI45" s="31"/>
      <c r="AJ45" s="31"/>
      <c r="AK45" s="31"/>
      <c r="AL45" s="31"/>
      <c r="AM45" s="31"/>
      <c r="AN45" s="31"/>
      <c r="AO45" s="31"/>
      <c r="AP45" s="31"/>
      <c r="AQ45" s="31"/>
    </row>
    <row r="46" spans="1:43" x14ac:dyDescent="0.4">
      <c r="A46" s="11" t="s">
        <v>613</v>
      </c>
      <c r="B46" s="11" t="s">
        <v>614</v>
      </c>
      <c r="C46" s="11" t="s">
        <v>139</v>
      </c>
      <c r="D46" s="10">
        <v>55</v>
      </c>
      <c r="E46" s="11" t="s">
        <v>136</v>
      </c>
      <c r="F46" s="11" t="s">
        <v>89</v>
      </c>
      <c r="G46" s="11" t="s">
        <v>533</v>
      </c>
      <c r="H46" s="10">
        <v>35000</v>
      </c>
      <c r="I46" s="10">
        <v>1</v>
      </c>
      <c r="J46" s="12">
        <v>46129</v>
      </c>
      <c r="K46" s="11" t="s">
        <v>512</v>
      </c>
      <c r="L46" s="10">
        <v>800000</v>
      </c>
      <c r="M46" s="10">
        <v>10</v>
      </c>
      <c r="N46" s="10">
        <v>8.1999999999999993</v>
      </c>
      <c r="O46" s="11" t="s">
        <v>490</v>
      </c>
      <c r="P46" t="str">
        <f t="shared" si="1"/>
        <v>rakesh sharma</v>
      </c>
      <c r="Q46" s="31" t="str">
        <f t="shared" si="2"/>
        <v>RAKESH SHARMA</v>
      </c>
      <c r="R46" s="31" t="str">
        <f t="shared" si="3"/>
        <v>Rakesh Sharma</v>
      </c>
      <c r="S46" s="31"/>
      <c r="T46" s="31"/>
      <c r="U46" s="31"/>
      <c r="V46" s="31"/>
      <c r="W46" s="31"/>
      <c r="X46" s="31"/>
      <c r="Y46" s="31"/>
      <c r="Z46" s="31"/>
      <c r="AA46" s="31"/>
      <c r="AB46" s="31"/>
      <c r="AC46" s="31"/>
      <c r="AD46" s="31"/>
      <c r="AE46" s="31"/>
      <c r="AF46" s="31"/>
      <c r="AG46" s="31"/>
      <c r="AH46" s="31"/>
      <c r="AI46" s="31"/>
      <c r="AJ46" s="31"/>
      <c r="AK46" s="31"/>
      <c r="AL46" s="31"/>
      <c r="AM46" s="31"/>
      <c r="AN46" s="31"/>
      <c r="AO46" s="31"/>
      <c r="AP46" s="31"/>
      <c r="AQ46" s="31"/>
    </row>
    <row r="47" spans="1:43" x14ac:dyDescent="0.4">
      <c r="A47" s="11" t="s">
        <v>615</v>
      </c>
      <c r="B47" s="11" t="s">
        <v>616</v>
      </c>
      <c r="C47" s="11" t="s">
        <v>144</v>
      </c>
      <c r="D47" s="10">
        <v>27</v>
      </c>
      <c r="E47" s="11" t="s">
        <v>141</v>
      </c>
      <c r="F47" s="11" t="s">
        <v>520</v>
      </c>
      <c r="G47" s="11" t="s">
        <v>617</v>
      </c>
      <c r="H47" s="10">
        <v>9500</v>
      </c>
      <c r="I47" s="10">
        <v>1</v>
      </c>
      <c r="J47" s="12">
        <v>46131</v>
      </c>
      <c r="K47" s="11" t="s">
        <v>494</v>
      </c>
      <c r="L47" s="10">
        <v>115000</v>
      </c>
      <c r="M47" s="10">
        <v>2</v>
      </c>
      <c r="N47" s="10">
        <v>11.1</v>
      </c>
      <c r="O47" s="11" t="s">
        <v>500</v>
      </c>
      <c r="P47" t="str">
        <f t="shared" si="1"/>
        <v>pallavi singh</v>
      </c>
      <c r="Q47" s="31" t="str">
        <f t="shared" si="2"/>
        <v>PALLAVI SINGH</v>
      </c>
      <c r="R47" s="31" t="str">
        <f t="shared" si="3"/>
        <v>Pallavi Singh</v>
      </c>
      <c r="S47" s="31"/>
      <c r="T47" s="31"/>
      <c r="U47" s="31"/>
      <c r="V47" s="31"/>
      <c r="W47" s="31"/>
      <c r="X47" s="31"/>
      <c r="Y47" s="31"/>
      <c r="Z47" s="31"/>
      <c r="AA47" s="31"/>
      <c r="AB47" s="31"/>
      <c r="AC47" s="31"/>
      <c r="AD47" s="31"/>
      <c r="AE47" s="31"/>
      <c r="AF47" s="31"/>
      <c r="AG47" s="31"/>
      <c r="AH47" s="31"/>
      <c r="AI47" s="31"/>
      <c r="AJ47" s="31"/>
      <c r="AK47" s="31"/>
      <c r="AL47" s="31"/>
      <c r="AM47" s="31"/>
      <c r="AN47" s="31"/>
      <c r="AO47" s="31"/>
      <c r="AP47" s="31"/>
      <c r="AQ47" s="31"/>
    </row>
    <row r="48" spans="1:43" x14ac:dyDescent="0.4">
      <c r="A48" s="11" t="s">
        <v>618</v>
      </c>
      <c r="B48" s="11" t="s">
        <v>619</v>
      </c>
      <c r="C48" s="11" t="s">
        <v>172</v>
      </c>
      <c r="D48" s="10">
        <v>39</v>
      </c>
      <c r="E48" s="11" t="s">
        <v>136</v>
      </c>
      <c r="F48" s="11" t="s">
        <v>89</v>
      </c>
      <c r="G48" s="11" t="s">
        <v>620</v>
      </c>
      <c r="H48" s="10">
        <v>5500</v>
      </c>
      <c r="I48" s="10">
        <v>2</v>
      </c>
      <c r="J48" s="12">
        <v>46133</v>
      </c>
      <c r="K48" s="11" t="s">
        <v>489</v>
      </c>
      <c r="L48" s="10">
        <v>275000</v>
      </c>
      <c r="M48" s="10">
        <v>5</v>
      </c>
      <c r="N48" s="10">
        <v>9.6</v>
      </c>
      <c r="O48" s="11" t="s">
        <v>490</v>
      </c>
      <c r="P48" t="str">
        <f t="shared" si="1"/>
        <v>suraj kumar</v>
      </c>
      <c r="Q48" s="31" t="str">
        <f t="shared" si="2"/>
        <v>SURAJ KUMAR</v>
      </c>
      <c r="R48" s="31" t="str">
        <f t="shared" si="3"/>
        <v>Suraj Kumar</v>
      </c>
      <c r="S48" s="31"/>
      <c r="T48" s="31"/>
      <c r="U48" s="31"/>
      <c r="V48" s="31"/>
      <c r="W48" s="31"/>
      <c r="X48" s="31"/>
      <c r="Y48" s="31"/>
      <c r="Z48" s="31"/>
      <c r="AA48" s="31"/>
      <c r="AB48" s="31"/>
      <c r="AC48" s="31"/>
      <c r="AD48" s="31"/>
      <c r="AE48" s="31"/>
      <c r="AF48" s="31"/>
      <c r="AG48" s="31"/>
      <c r="AH48" s="31"/>
      <c r="AI48" s="31"/>
      <c r="AJ48" s="31"/>
      <c r="AK48" s="31"/>
      <c r="AL48" s="31"/>
      <c r="AM48" s="31"/>
      <c r="AN48" s="31"/>
      <c r="AO48" s="31"/>
      <c r="AP48" s="31"/>
      <c r="AQ48" s="31"/>
    </row>
    <row r="49" spans="1:43" x14ac:dyDescent="0.4">
      <c r="A49" s="11" t="s">
        <v>621</v>
      </c>
      <c r="B49" s="11" t="s">
        <v>622</v>
      </c>
      <c r="C49" s="11" t="s">
        <v>139</v>
      </c>
      <c r="D49" s="10">
        <v>42</v>
      </c>
      <c r="E49" s="11" t="s">
        <v>141</v>
      </c>
      <c r="F49" s="11" t="s">
        <v>492</v>
      </c>
      <c r="G49" s="11" t="s">
        <v>623</v>
      </c>
      <c r="H49" s="10">
        <v>2100</v>
      </c>
      <c r="I49" s="10">
        <v>2</v>
      </c>
      <c r="J49" s="12">
        <v>46135</v>
      </c>
      <c r="K49" s="11" t="s">
        <v>497</v>
      </c>
      <c r="L49" s="10">
        <v>180000</v>
      </c>
      <c r="M49" s="10">
        <v>4</v>
      </c>
      <c r="N49" s="10">
        <v>10</v>
      </c>
      <c r="O49" s="11" t="s">
        <v>490</v>
      </c>
      <c r="P49" t="str">
        <f t="shared" si="1"/>
        <v>renu gupta</v>
      </c>
      <c r="Q49" s="31" t="str">
        <f t="shared" si="2"/>
        <v>RENU GUPTA</v>
      </c>
      <c r="R49" s="31" t="str">
        <f t="shared" si="3"/>
        <v>Renu Gupta</v>
      </c>
      <c r="S49" s="31"/>
      <c r="T49" s="31"/>
      <c r="U49" s="31"/>
      <c r="V49" s="31"/>
      <c r="W49" s="31"/>
      <c r="X49" s="31"/>
      <c r="Y49" s="31"/>
      <c r="Z49" s="31"/>
      <c r="AA49" s="31"/>
      <c r="AB49" s="31"/>
      <c r="AC49" s="31"/>
      <c r="AD49" s="31"/>
      <c r="AE49" s="31"/>
      <c r="AF49" s="31"/>
      <c r="AG49" s="31"/>
      <c r="AH49" s="31"/>
      <c r="AI49" s="31"/>
      <c r="AJ49" s="31"/>
      <c r="AK49" s="31"/>
      <c r="AL49" s="31"/>
      <c r="AM49" s="31"/>
      <c r="AN49" s="31"/>
      <c r="AO49" s="31"/>
      <c r="AP49" s="31"/>
      <c r="AQ49" s="31"/>
    </row>
    <row r="50" spans="1:43" x14ac:dyDescent="0.4">
      <c r="A50" s="11" t="s">
        <v>624</v>
      </c>
      <c r="B50" s="11" t="s">
        <v>625</v>
      </c>
      <c r="C50" s="11" t="s">
        <v>502</v>
      </c>
      <c r="D50" s="10">
        <v>48</v>
      </c>
      <c r="E50" s="11" t="s">
        <v>136</v>
      </c>
      <c r="F50" s="11" t="s">
        <v>96</v>
      </c>
      <c r="G50" s="11" t="s">
        <v>110</v>
      </c>
      <c r="H50" s="10">
        <v>11000</v>
      </c>
      <c r="I50" s="10">
        <v>1</v>
      </c>
      <c r="J50" s="12">
        <v>46137</v>
      </c>
      <c r="K50" s="11" t="s">
        <v>489</v>
      </c>
      <c r="L50" s="10">
        <v>475000</v>
      </c>
      <c r="M50" s="10">
        <v>7</v>
      </c>
      <c r="N50" s="10">
        <v>8.8000000000000007</v>
      </c>
      <c r="O50" s="11" t="s">
        <v>490</v>
      </c>
      <c r="P50" t="str">
        <f t="shared" si="1"/>
        <v>gaurav mehra</v>
      </c>
      <c r="Q50" s="31" t="str">
        <f t="shared" si="2"/>
        <v>GAURAV MEHRA</v>
      </c>
      <c r="R50" s="31" t="str">
        <f t="shared" si="3"/>
        <v>Gaurav Mehra</v>
      </c>
      <c r="S50" s="31"/>
      <c r="T50" s="31"/>
      <c r="U50" s="31"/>
      <c r="V50" s="31"/>
      <c r="W50" s="31"/>
      <c r="X50" s="31"/>
      <c r="Y50" s="31"/>
      <c r="Z50" s="31"/>
      <c r="AA50" s="31"/>
      <c r="AB50" s="31"/>
      <c r="AC50" s="31"/>
      <c r="AD50" s="31"/>
      <c r="AE50" s="31"/>
      <c r="AF50" s="31"/>
      <c r="AG50" s="31"/>
      <c r="AH50" s="31"/>
      <c r="AI50" s="31"/>
      <c r="AJ50" s="31"/>
      <c r="AK50" s="31"/>
      <c r="AL50" s="31"/>
      <c r="AM50" s="31"/>
      <c r="AN50" s="31"/>
      <c r="AO50" s="31"/>
      <c r="AP50" s="31"/>
      <c r="AQ50" s="31"/>
    </row>
    <row r="51" spans="1:43" x14ac:dyDescent="0.4">
      <c r="A51" s="11" t="s">
        <v>626</v>
      </c>
      <c r="B51" s="11" t="s">
        <v>627</v>
      </c>
      <c r="C51" s="11" t="s">
        <v>154</v>
      </c>
      <c r="D51" s="10">
        <v>30</v>
      </c>
      <c r="E51" s="11" t="s">
        <v>141</v>
      </c>
      <c r="F51" s="11" t="s">
        <v>506</v>
      </c>
      <c r="G51" s="11" t="s">
        <v>628</v>
      </c>
      <c r="H51" s="10">
        <v>900</v>
      </c>
      <c r="I51" s="10">
        <v>4</v>
      </c>
      <c r="J51" s="12">
        <v>46139</v>
      </c>
      <c r="K51" s="11" t="s">
        <v>494</v>
      </c>
      <c r="L51" s="10">
        <v>105000</v>
      </c>
      <c r="M51" s="10">
        <v>2</v>
      </c>
      <c r="N51" s="10">
        <v>11.3</v>
      </c>
      <c r="O51" s="11" t="s">
        <v>490</v>
      </c>
      <c r="P51" t="str">
        <f t="shared" si="1"/>
        <v>swati joshi</v>
      </c>
      <c r="Q51" s="31" t="str">
        <f t="shared" si="2"/>
        <v>SWATI JOSHI</v>
      </c>
      <c r="R51" s="31" t="str">
        <f t="shared" si="3"/>
        <v>Swati Joshi</v>
      </c>
      <c r="S51" s="31"/>
      <c r="T51" s="31"/>
      <c r="U51" s="31"/>
      <c r="V51" s="31"/>
      <c r="W51" s="31"/>
      <c r="X51" s="31"/>
      <c r="Y51" s="31"/>
      <c r="Z51" s="31"/>
      <c r="AA51" s="31"/>
      <c r="AB51" s="31"/>
      <c r="AC51" s="31"/>
      <c r="AD51" s="31"/>
      <c r="AE51" s="31"/>
      <c r="AF51" s="31"/>
      <c r="AG51" s="31"/>
      <c r="AH51" s="31"/>
      <c r="AI51" s="31"/>
      <c r="AJ51" s="31"/>
      <c r="AK51" s="31"/>
      <c r="AL51" s="31"/>
      <c r="AM51" s="31"/>
      <c r="AN51" s="31"/>
      <c r="AO51" s="31"/>
      <c r="AP51" s="31"/>
      <c r="AQ51" s="31"/>
    </row>
    <row r="52" spans="1:43" x14ac:dyDescent="0.4">
      <c r="A52" s="11" t="s">
        <v>629</v>
      </c>
      <c r="B52" s="11" t="s">
        <v>630</v>
      </c>
      <c r="C52" s="11" t="s">
        <v>139</v>
      </c>
      <c r="D52" s="10">
        <v>37</v>
      </c>
      <c r="E52" s="11" t="s">
        <v>136</v>
      </c>
      <c r="F52" s="11" t="s">
        <v>89</v>
      </c>
      <c r="G52" s="11" t="s">
        <v>88</v>
      </c>
      <c r="H52" s="10">
        <v>62000</v>
      </c>
      <c r="I52" s="10">
        <v>1</v>
      </c>
      <c r="J52" s="12">
        <v>46142</v>
      </c>
      <c r="K52" s="11" t="s">
        <v>489</v>
      </c>
      <c r="L52" s="10">
        <v>350000</v>
      </c>
      <c r="M52" s="10">
        <v>5</v>
      </c>
      <c r="N52" s="10">
        <v>9.3000000000000007</v>
      </c>
      <c r="O52" s="11" t="s">
        <v>490</v>
      </c>
      <c r="P52" t="str">
        <f t="shared" si="1"/>
        <v>ankit sharma</v>
      </c>
      <c r="Q52" s="31" t="str">
        <f t="shared" si="2"/>
        <v>ANKIT SHARMA</v>
      </c>
      <c r="R52" s="31" t="str">
        <f t="shared" si="3"/>
        <v>Ankit Sharma</v>
      </c>
      <c r="S52" s="31"/>
      <c r="T52" s="31"/>
      <c r="U52" s="31"/>
      <c r="V52" s="31"/>
      <c r="W52" s="31"/>
      <c r="X52" s="31"/>
      <c r="Y52" s="31"/>
      <c r="Z52" s="31"/>
      <c r="AA52" s="31"/>
      <c r="AB52" s="31"/>
      <c r="AC52" s="31"/>
      <c r="AD52" s="31"/>
      <c r="AE52" s="31"/>
      <c r="AF52" s="31"/>
      <c r="AG52" s="31"/>
      <c r="AH52" s="31"/>
      <c r="AI52" s="31"/>
      <c r="AJ52" s="31"/>
      <c r="AK52" s="31"/>
      <c r="AL52" s="31"/>
      <c r="AM52" s="31"/>
      <c r="AN52" s="31"/>
      <c r="AO52" s="31"/>
      <c r="AP52" s="31"/>
      <c r="AQ52" s="31"/>
    </row>
    <row r="55" spans="1:43" x14ac:dyDescent="0.4">
      <c r="R55" t="s">
        <v>660</v>
      </c>
    </row>
    <row r="56" spans="1:43" ht="29.15" x14ac:dyDescent="0.4">
      <c r="A56" t="s">
        <v>667</v>
      </c>
      <c r="R56" s="33" t="s">
        <v>661</v>
      </c>
      <c r="S56" s="23" t="s">
        <v>663</v>
      </c>
      <c r="T56">
        <f>FIND("@",R56)</f>
        <v>4</v>
      </c>
    </row>
    <row r="57" spans="1:43" ht="29.15" x14ac:dyDescent="0.4">
      <c r="A57" s="37">
        <v>55000</v>
      </c>
      <c r="B57" t="s">
        <v>671</v>
      </c>
      <c r="C57" t="s">
        <v>672</v>
      </c>
      <c r="D57" t="s">
        <v>673</v>
      </c>
      <c r="R57" s="33" t="s">
        <v>662</v>
      </c>
      <c r="S57" s="23" t="s">
        <v>664</v>
      </c>
      <c r="T57">
        <f>FIND(".",R57)</f>
        <v>11</v>
      </c>
    </row>
    <row r="58" spans="1:43" ht="58.3" x14ac:dyDescent="0.4">
      <c r="A58" s="37">
        <v>2500.2568999999999</v>
      </c>
      <c r="B58" s="36">
        <f>ROUND(A58,2)</f>
        <v>2500.2600000000002</v>
      </c>
      <c r="C58" s="38">
        <f>ROUNDUP(A58,2)</f>
        <v>2500.2600000000002</v>
      </c>
      <c r="D58" s="38">
        <f>ROUNDDOWN(A58,2)</f>
        <v>2500.25</v>
      </c>
      <c r="S58" s="34" t="s">
        <v>665</v>
      </c>
      <c r="T58" t="str">
        <f>MID(R56,FIND("@",R56)+1,FIND(".",R56)-FIND("@",R56)-1)</f>
        <v>GMAIL</v>
      </c>
    </row>
    <row r="59" spans="1:43" x14ac:dyDescent="0.4">
      <c r="A59" s="37">
        <v>4500.5600000000004</v>
      </c>
      <c r="T59" t="str">
        <f>MID(R57,FIND("@",R57)+1,FIND(".",R57)-FIND("@",R57)-1)</f>
        <v>YAHOON</v>
      </c>
    </row>
    <row r="60" spans="1:43" x14ac:dyDescent="0.4">
      <c r="A60" s="37">
        <v>1800.66</v>
      </c>
    </row>
    <row r="61" spans="1:43" x14ac:dyDescent="0.4">
      <c r="A61" s="37">
        <v>22000</v>
      </c>
    </row>
    <row r="62" spans="1:43" x14ac:dyDescent="0.4">
      <c r="A62" s="37">
        <v>3200</v>
      </c>
    </row>
    <row r="63" spans="1:43" x14ac:dyDescent="0.4">
      <c r="A63" s="37">
        <v>1200</v>
      </c>
    </row>
    <row r="64" spans="1:43" x14ac:dyDescent="0.4">
      <c r="A64" s="37">
        <v>3500</v>
      </c>
    </row>
    <row r="65" spans="1:1" x14ac:dyDescent="0.4">
      <c r="A65" s="37">
        <v>18000</v>
      </c>
    </row>
    <row r="66" spans="1:1" x14ac:dyDescent="0.4">
      <c r="A66" s="37">
        <v>4500</v>
      </c>
    </row>
    <row r="67" spans="1:1" x14ac:dyDescent="0.4">
      <c r="A67" s="37">
        <v>15000</v>
      </c>
    </row>
    <row r="68" spans="1:1" x14ac:dyDescent="0.4">
      <c r="A68" s="37">
        <v>2800</v>
      </c>
    </row>
    <row r="69" spans="1:1" x14ac:dyDescent="0.4">
      <c r="A69" s="37">
        <v>12000</v>
      </c>
    </row>
    <row r="70" spans="1:1" x14ac:dyDescent="0.4">
      <c r="A70" s="37">
        <v>2200</v>
      </c>
    </row>
    <row r="71" spans="1:1" x14ac:dyDescent="0.4">
      <c r="A71" s="37">
        <v>32000</v>
      </c>
    </row>
    <row r="72" spans="1:1" x14ac:dyDescent="0.4">
      <c r="A72" s="37">
        <v>850</v>
      </c>
    </row>
    <row r="73" spans="1:1" x14ac:dyDescent="0.4">
      <c r="A73" s="37">
        <v>28000</v>
      </c>
    </row>
    <row r="74" spans="1:1" x14ac:dyDescent="0.4">
      <c r="A74" s="37">
        <v>4200</v>
      </c>
    </row>
  </sheetData>
  <mergeCells count="1">
    <mergeCell ref="AE4:AE8"/>
  </mergeCells>
  <hyperlinks>
    <hyperlink ref="R56" r:id="rId1" xr:uid="{A9453653-D618-4CB1-B64C-6FF9CC970F05}"/>
    <hyperlink ref="R57" r:id="rId2" xr:uid="{D2366635-B14A-4D6A-9CD6-1B0953225AF6}"/>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34EFF-68AE-4BE6-89A8-B74FE8F23F8E}">
  <dimension ref="A1:F7"/>
  <sheetViews>
    <sheetView workbookViewId="0">
      <selection activeCell="F7" sqref="F7"/>
    </sheetView>
  </sheetViews>
  <sheetFormatPr defaultRowHeight="14.6" x14ac:dyDescent="0.4"/>
  <cols>
    <col min="5" max="5" width="16.3046875" bestFit="1" customWidth="1"/>
    <col min="6" max="6" width="17.4609375" customWidth="1"/>
  </cols>
  <sheetData>
    <row r="1" spans="1:6" x14ac:dyDescent="0.4">
      <c r="A1" t="s">
        <v>649</v>
      </c>
    </row>
    <row r="2" spans="1:6" x14ac:dyDescent="0.4">
      <c r="A2" t="s">
        <v>2</v>
      </c>
      <c r="B2" t="s">
        <v>650</v>
      </c>
      <c r="C2" s="17" t="s">
        <v>651</v>
      </c>
    </row>
    <row r="3" spans="1:6" x14ac:dyDescent="0.4">
      <c r="A3" t="s">
        <v>214</v>
      </c>
      <c r="B3" t="s">
        <v>652</v>
      </c>
      <c r="C3" s="17" t="str">
        <f>_xlfn.CONCAT(A3,B3)</f>
        <v>RahulBose</v>
      </c>
    </row>
    <row r="6" spans="1:6" x14ac:dyDescent="0.4">
      <c r="B6" t="s">
        <v>2</v>
      </c>
      <c r="C6" t="s">
        <v>132</v>
      </c>
      <c r="D6" t="s">
        <v>653</v>
      </c>
      <c r="E6" t="s">
        <v>654</v>
      </c>
      <c r="F6" t="s">
        <v>655</v>
      </c>
    </row>
    <row r="7" spans="1:6" x14ac:dyDescent="0.4">
      <c r="B7" t="s">
        <v>656</v>
      </c>
      <c r="C7" t="s">
        <v>139</v>
      </c>
      <c r="D7">
        <v>110043</v>
      </c>
      <c r="E7" s="32" t="s">
        <v>657</v>
      </c>
      <c r="F7" t="str">
        <f>_xlfn.CONCAT(UPPER(B7),LEFT(C7,2),RIGHT(D7,3))</f>
        <v>ASHADe043</v>
      </c>
    </row>
  </sheetData>
  <hyperlinks>
    <hyperlink ref="E7" r:id="rId1" xr:uid="{C23308EF-08CB-4250-9E76-70CABA3A2021}"/>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376C8-3B04-4847-B29F-ABAE1AB27CC9}">
  <dimension ref="A1:K37"/>
  <sheetViews>
    <sheetView topLeftCell="A13" workbookViewId="0">
      <selection activeCell="D33" sqref="D32:D36"/>
    </sheetView>
  </sheetViews>
  <sheetFormatPr defaultRowHeight="14.6" x14ac:dyDescent="0.4"/>
  <cols>
    <col min="1" max="1" width="8.3828125" bestFit="1" customWidth="1"/>
    <col min="2" max="2" width="13.69140625" customWidth="1"/>
    <col min="3" max="3" width="10.84375" customWidth="1"/>
    <col min="4" max="4" width="12.4609375" bestFit="1" customWidth="1"/>
    <col min="5" max="5" width="13.4609375" bestFit="1" customWidth="1"/>
    <col min="6" max="6" width="8.3828125" bestFit="1" customWidth="1"/>
    <col min="7" max="7" width="8.15234375" bestFit="1" customWidth="1"/>
    <col min="8" max="8" width="9.84375" bestFit="1" customWidth="1"/>
    <col min="9" max="9" width="6.84375" bestFit="1" customWidth="1"/>
    <col min="10" max="10" width="22.921875" bestFit="1" customWidth="1"/>
  </cols>
  <sheetData>
    <row r="1" spans="1:11" x14ac:dyDescent="0.4">
      <c r="A1" s="9" t="s">
        <v>685</v>
      </c>
      <c r="B1" s="9" t="s">
        <v>686</v>
      </c>
      <c r="C1" s="9" t="s">
        <v>687</v>
      </c>
      <c r="D1" s="9" t="s">
        <v>688</v>
      </c>
      <c r="E1" s="9" t="s">
        <v>84</v>
      </c>
      <c r="F1" s="9" t="s">
        <v>479</v>
      </c>
      <c r="G1" s="8" t="s">
        <v>481</v>
      </c>
      <c r="H1" s="8" t="s">
        <v>85</v>
      </c>
      <c r="I1" s="8" t="s">
        <v>152</v>
      </c>
    </row>
    <row r="2" spans="1:11" x14ac:dyDescent="0.4">
      <c r="A2" s="10">
        <v>1001</v>
      </c>
      <c r="B2" s="46">
        <v>46023</v>
      </c>
      <c r="C2" s="11" t="s">
        <v>689</v>
      </c>
      <c r="D2" s="11" t="s">
        <v>218</v>
      </c>
      <c r="E2" s="11" t="s">
        <v>89</v>
      </c>
      <c r="F2" s="11" t="s">
        <v>88</v>
      </c>
      <c r="G2" s="10">
        <v>2</v>
      </c>
      <c r="H2" s="10">
        <v>55000</v>
      </c>
      <c r="I2" s="10">
        <v>110000</v>
      </c>
      <c r="J2" s="10" t="s">
        <v>695</v>
      </c>
    </row>
    <row r="3" spans="1:11" x14ac:dyDescent="0.4">
      <c r="A3" s="10">
        <v>1002</v>
      </c>
      <c r="B3" s="46">
        <v>46025</v>
      </c>
      <c r="C3" s="11" t="s">
        <v>690</v>
      </c>
      <c r="D3" s="11" t="s">
        <v>217</v>
      </c>
      <c r="E3" s="11" t="s">
        <v>96</v>
      </c>
      <c r="F3" s="11" t="s">
        <v>496</v>
      </c>
      <c r="G3" s="10">
        <v>5</v>
      </c>
      <c r="H3" s="10">
        <v>4000</v>
      </c>
      <c r="I3" s="10">
        <v>20000</v>
      </c>
      <c r="J3" t="str">
        <f>VLOOKUP(1006,A1:I21,6,FALSE)</f>
        <v>Laptop</v>
      </c>
      <c r="K3" t="s">
        <v>634</v>
      </c>
    </row>
    <row r="4" spans="1:11" x14ac:dyDescent="0.4">
      <c r="A4" s="10">
        <v>1003</v>
      </c>
      <c r="B4" s="46">
        <v>46027</v>
      </c>
      <c r="C4" s="11" t="s">
        <v>691</v>
      </c>
      <c r="D4" s="11" t="s">
        <v>214</v>
      </c>
      <c r="E4" s="11" t="s">
        <v>89</v>
      </c>
      <c r="F4" s="11" t="s">
        <v>503</v>
      </c>
      <c r="G4" s="10">
        <v>8</v>
      </c>
      <c r="H4" s="10">
        <v>25000</v>
      </c>
      <c r="I4" s="10">
        <v>200000</v>
      </c>
    </row>
    <row r="5" spans="1:11" x14ac:dyDescent="0.4">
      <c r="A5" s="10">
        <v>1004</v>
      </c>
      <c r="B5" s="46">
        <v>46030</v>
      </c>
      <c r="C5" s="11" t="s">
        <v>692</v>
      </c>
      <c r="D5" s="11" t="s">
        <v>219</v>
      </c>
      <c r="E5" s="11" t="s">
        <v>693</v>
      </c>
      <c r="F5" s="11" t="s">
        <v>104</v>
      </c>
      <c r="G5" s="10">
        <v>3</v>
      </c>
      <c r="H5" s="10">
        <v>12000</v>
      </c>
      <c r="I5" s="10">
        <v>36000</v>
      </c>
      <c r="J5" t="s">
        <v>696</v>
      </c>
    </row>
    <row r="6" spans="1:11" x14ac:dyDescent="0.4">
      <c r="A6" s="10">
        <v>1005</v>
      </c>
      <c r="B6" s="46">
        <v>46034</v>
      </c>
      <c r="C6" s="11" t="s">
        <v>689</v>
      </c>
      <c r="D6" s="11" t="s">
        <v>218</v>
      </c>
      <c r="E6" s="11" t="s">
        <v>96</v>
      </c>
      <c r="F6" s="11" t="s">
        <v>528</v>
      </c>
      <c r="G6" s="10">
        <v>4</v>
      </c>
      <c r="H6" s="10">
        <v>8000</v>
      </c>
      <c r="I6" s="10">
        <v>32000</v>
      </c>
      <c r="J6" s="29">
        <f>_xlfn.XLOOKUP("Amit",D1:D21,B1:B21,FALSE)</f>
        <v>46023</v>
      </c>
      <c r="K6" t="s">
        <v>124</v>
      </c>
    </row>
    <row r="7" spans="1:11" x14ac:dyDescent="0.4">
      <c r="A7" s="10">
        <v>1006</v>
      </c>
      <c r="B7" s="46">
        <v>46037</v>
      </c>
      <c r="C7" s="11" t="s">
        <v>690</v>
      </c>
      <c r="D7" s="11" t="s">
        <v>217</v>
      </c>
      <c r="E7" s="11" t="s">
        <v>89</v>
      </c>
      <c r="F7" s="11" t="s">
        <v>88</v>
      </c>
      <c r="G7" s="10">
        <v>3</v>
      </c>
      <c r="H7" s="10">
        <v>55000</v>
      </c>
      <c r="I7" s="10">
        <v>165000</v>
      </c>
      <c r="J7" t="s">
        <v>697</v>
      </c>
    </row>
    <row r="8" spans="1:11" x14ac:dyDescent="0.4">
      <c r="A8" s="10">
        <v>1007</v>
      </c>
      <c r="B8" s="46">
        <v>46040</v>
      </c>
      <c r="C8" s="11" t="s">
        <v>691</v>
      </c>
      <c r="D8" s="11" t="s">
        <v>214</v>
      </c>
      <c r="E8" s="11" t="s">
        <v>693</v>
      </c>
      <c r="F8" s="11" t="s">
        <v>104</v>
      </c>
      <c r="G8" s="10">
        <v>5</v>
      </c>
      <c r="H8" s="10">
        <v>12000</v>
      </c>
      <c r="I8" s="10">
        <v>60000</v>
      </c>
      <c r="J8">
        <f>INDEX(I1:I21,MATCH("Laptop",F1:F21,FALSE))</f>
        <v>110000</v>
      </c>
      <c r="K8" t="s">
        <v>698</v>
      </c>
    </row>
    <row r="9" spans="1:11" x14ac:dyDescent="0.4">
      <c r="A9" s="10">
        <v>1008</v>
      </c>
      <c r="B9" s="46">
        <v>46044</v>
      </c>
      <c r="C9" s="11" t="s">
        <v>692</v>
      </c>
      <c r="D9" s="11" t="s">
        <v>219</v>
      </c>
      <c r="E9" s="11" t="s">
        <v>89</v>
      </c>
      <c r="F9" s="11" t="s">
        <v>503</v>
      </c>
      <c r="G9" s="10">
        <v>10</v>
      </c>
      <c r="H9" s="10">
        <v>25000</v>
      </c>
      <c r="I9" s="10">
        <v>250000</v>
      </c>
    </row>
    <row r="10" spans="1:11" x14ac:dyDescent="0.4">
      <c r="A10" s="10">
        <v>1009</v>
      </c>
      <c r="B10" s="46">
        <v>46047</v>
      </c>
      <c r="C10" s="11" t="s">
        <v>689</v>
      </c>
      <c r="D10" s="11" t="s">
        <v>218</v>
      </c>
      <c r="E10" s="11" t="s">
        <v>693</v>
      </c>
      <c r="F10" s="11" t="s">
        <v>694</v>
      </c>
      <c r="G10" s="10">
        <v>20</v>
      </c>
      <c r="H10" s="10">
        <v>300</v>
      </c>
      <c r="I10" s="10">
        <v>6000</v>
      </c>
    </row>
    <row r="11" spans="1:11" x14ac:dyDescent="0.4">
      <c r="A11" s="10">
        <v>1010</v>
      </c>
      <c r="B11" s="46">
        <v>46050</v>
      </c>
      <c r="C11" s="11" t="s">
        <v>690</v>
      </c>
      <c r="D11" s="11" t="s">
        <v>217</v>
      </c>
      <c r="E11" s="11" t="s">
        <v>96</v>
      </c>
      <c r="F11" s="11" t="s">
        <v>528</v>
      </c>
      <c r="G11" s="10">
        <v>6</v>
      </c>
      <c r="H11" s="10">
        <v>8000</v>
      </c>
      <c r="I11" s="10">
        <v>48000</v>
      </c>
    </row>
    <row r="12" spans="1:11" x14ac:dyDescent="0.4">
      <c r="A12" s="10">
        <v>1011</v>
      </c>
      <c r="B12" s="46">
        <v>46055</v>
      </c>
      <c r="C12" s="11" t="s">
        <v>691</v>
      </c>
      <c r="D12" s="11" t="s">
        <v>214</v>
      </c>
      <c r="E12" s="11" t="s">
        <v>89</v>
      </c>
      <c r="F12" s="11" t="s">
        <v>88</v>
      </c>
      <c r="G12" s="10">
        <v>2</v>
      </c>
      <c r="H12" s="10">
        <v>55000</v>
      </c>
      <c r="I12" s="10">
        <v>110000</v>
      </c>
    </row>
    <row r="13" spans="1:11" x14ac:dyDescent="0.4">
      <c r="A13" s="10">
        <v>1012</v>
      </c>
      <c r="B13" s="46">
        <v>46058</v>
      </c>
      <c r="C13" s="11" t="s">
        <v>692</v>
      </c>
      <c r="D13" s="11" t="s">
        <v>219</v>
      </c>
      <c r="E13" s="11" t="s">
        <v>96</v>
      </c>
      <c r="F13" s="11" t="s">
        <v>496</v>
      </c>
      <c r="G13" s="10">
        <v>8</v>
      </c>
      <c r="H13" s="10">
        <v>4000</v>
      </c>
      <c r="I13" s="10">
        <v>32000</v>
      </c>
    </row>
    <row r="14" spans="1:11" x14ac:dyDescent="0.4">
      <c r="A14" s="10">
        <v>1013</v>
      </c>
      <c r="B14" s="46">
        <v>46062</v>
      </c>
      <c r="C14" s="11" t="s">
        <v>689</v>
      </c>
      <c r="D14" s="11" t="s">
        <v>218</v>
      </c>
      <c r="E14" s="11" t="s">
        <v>89</v>
      </c>
      <c r="F14" s="11" t="s">
        <v>503</v>
      </c>
      <c r="G14" s="10">
        <v>6</v>
      </c>
      <c r="H14" s="10">
        <v>25000</v>
      </c>
      <c r="I14" s="10">
        <v>150000</v>
      </c>
    </row>
    <row r="15" spans="1:11" x14ac:dyDescent="0.4">
      <c r="A15" s="10">
        <v>1014</v>
      </c>
      <c r="B15" s="46">
        <v>46065</v>
      </c>
      <c r="C15" s="11" t="s">
        <v>690</v>
      </c>
      <c r="D15" s="11" t="s">
        <v>217</v>
      </c>
      <c r="E15" s="11" t="s">
        <v>693</v>
      </c>
      <c r="F15" s="11" t="s">
        <v>694</v>
      </c>
      <c r="G15" s="10">
        <v>30</v>
      </c>
      <c r="H15" s="10">
        <v>300</v>
      </c>
      <c r="I15" s="10">
        <v>9000</v>
      </c>
    </row>
    <row r="16" spans="1:11" x14ac:dyDescent="0.4">
      <c r="A16" s="10">
        <v>1015</v>
      </c>
      <c r="B16" s="46">
        <v>46068</v>
      </c>
      <c r="C16" s="11" t="s">
        <v>691</v>
      </c>
      <c r="D16" s="11" t="s">
        <v>214</v>
      </c>
      <c r="E16" s="11" t="s">
        <v>96</v>
      </c>
      <c r="F16" s="11" t="s">
        <v>528</v>
      </c>
      <c r="G16" s="10">
        <v>5</v>
      </c>
      <c r="H16" s="10">
        <v>8000</v>
      </c>
      <c r="I16" s="10">
        <v>40000</v>
      </c>
    </row>
    <row r="17" spans="1:9" x14ac:dyDescent="0.4">
      <c r="A17" s="10">
        <v>1016</v>
      </c>
      <c r="B17" s="46">
        <v>46071</v>
      </c>
      <c r="C17" s="11" t="s">
        <v>692</v>
      </c>
      <c r="D17" s="11" t="s">
        <v>219</v>
      </c>
      <c r="E17" s="11" t="s">
        <v>89</v>
      </c>
      <c r="F17" s="11" t="s">
        <v>88</v>
      </c>
      <c r="G17" s="10">
        <v>4</v>
      </c>
      <c r="H17" s="10">
        <v>55000</v>
      </c>
      <c r="I17" s="10">
        <v>220000</v>
      </c>
    </row>
    <row r="18" spans="1:9" x14ac:dyDescent="0.4">
      <c r="A18" s="10">
        <v>1017</v>
      </c>
      <c r="B18" s="46">
        <v>46074</v>
      </c>
      <c r="C18" s="11" t="s">
        <v>689</v>
      </c>
      <c r="D18" s="11" t="s">
        <v>218</v>
      </c>
      <c r="E18" s="11" t="s">
        <v>96</v>
      </c>
      <c r="F18" s="11" t="s">
        <v>496</v>
      </c>
      <c r="G18" s="10">
        <v>10</v>
      </c>
      <c r="H18" s="10">
        <v>4000</v>
      </c>
      <c r="I18" s="10">
        <v>40000</v>
      </c>
    </row>
    <row r="19" spans="1:9" x14ac:dyDescent="0.4">
      <c r="A19" s="10">
        <v>1018</v>
      </c>
      <c r="B19" s="46">
        <v>46077</v>
      </c>
      <c r="C19" s="11" t="s">
        <v>690</v>
      </c>
      <c r="D19" s="11" t="s">
        <v>217</v>
      </c>
      <c r="E19" s="11" t="s">
        <v>89</v>
      </c>
      <c r="F19" s="11" t="s">
        <v>503</v>
      </c>
      <c r="G19" s="10">
        <v>7</v>
      </c>
      <c r="H19" s="10">
        <v>25000</v>
      </c>
      <c r="I19" s="10">
        <v>175000</v>
      </c>
    </row>
    <row r="20" spans="1:9" x14ac:dyDescent="0.4">
      <c r="A20" s="10">
        <v>1019</v>
      </c>
      <c r="B20" s="46">
        <v>46079</v>
      </c>
      <c r="C20" s="11" t="s">
        <v>691</v>
      </c>
      <c r="D20" s="11" t="s">
        <v>214</v>
      </c>
      <c r="E20" s="11" t="s">
        <v>693</v>
      </c>
      <c r="F20" s="11" t="s">
        <v>104</v>
      </c>
      <c r="G20" s="10">
        <v>4</v>
      </c>
      <c r="H20" s="10">
        <v>12000</v>
      </c>
      <c r="I20" s="10">
        <v>48000</v>
      </c>
    </row>
    <row r="21" spans="1:9" x14ac:dyDescent="0.4">
      <c r="A21" s="10">
        <v>1020</v>
      </c>
      <c r="B21" s="46">
        <v>46081</v>
      </c>
      <c r="C21" s="11" t="s">
        <v>692</v>
      </c>
      <c r="D21" s="11" t="s">
        <v>219</v>
      </c>
      <c r="E21" s="11" t="s">
        <v>96</v>
      </c>
      <c r="F21" s="11" t="s">
        <v>528</v>
      </c>
      <c r="G21" s="10">
        <v>7</v>
      </c>
      <c r="H21" s="10">
        <v>8000</v>
      </c>
      <c r="I21" s="10">
        <v>56000</v>
      </c>
    </row>
    <row r="24" spans="1:9" x14ac:dyDescent="0.4">
      <c r="C24" s="68" t="s">
        <v>699</v>
      </c>
      <c r="D24" s="68"/>
      <c r="E24" s="68"/>
    </row>
    <row r="25" spans="1:9" x14ac:dyDescent="0.4">
      <c r="C25" s="68"/>
      <c r="D25" s="68"/>
      <c r="E25" s="68"/>
    </row>
    <row r="27" spans="1:9" ht="15.9" x14ac:dyDescent="0.45">
      <c r="D27" s="51" t="s">
        <v>725</v>
      </c>
    </row>
    <row r="31" spans="1:9" x14ac:dyDescent="0.4">
      <c r="A31" t="s">
        <v>726</v>
      </c>
      <c r="B31" t="s">
        <v>727</v>
      </c>
      <c r="D31" s="47" t="s">
        <v>700</v>
      </c>
      <c r="E31" t="s">
        <v>733</v>
      </c>
    </row>
    <row r="32" spans="1:9" x14ac:dyDescent="0.4">
      <c r="A32" t="s">
        <v>728</v>
      </c>
      <c r="B32">
        <v>20</v>
      </c>
      <c r="D32" s="48" t="s">
        <v>728</v>
      </c>
      <c r="E32">
        <v>20</v>
      </c>
    </row>
    <row r="33" spans="1:5" x14ac:dyDescent="0.4">
      <c r="A33" t="s">
        <v>729</v>
      </c>
      <c r="B33">
        <v>20</v>
      </c>
      <c r="D33" s="48" t="s">
        <v>731</v>
      </c>
      <c r="E33">
        <v>30</v>
      </c>
    </row>
    <row r="34" spans="1:5" x14ac:dyDescent="0.4">
      <c r="A34" t="s">
        <v>730</v>
      </c>
      <c r="B34">
        <v>10</v>
      </c>
      <c r="D34" s="48" t="s">
        <v>729</v>
      </c>
      <c r="E34">
        <v>20</v>
      </c>
    </row>
    <row r="35" spans="1:5" x14ac:dyDescent="0.4">
      <c r="A35" t="s">
        <v>731</v>
      </c>
      <c r="B35">
        <v>30</v>
      </c>
      <c r="D35" s="48" t="s">
        <v>730</v>
      </c>
      <c r="E35">
        <v>10</v>
      </c>
    </row>
    <row r="36" spans="1:5" x14ac:dyDescent="0.4">
      <c r="A36" t="s">
        <v>732</v>
      </c>
      <c r="B36">
        <v>20</v>
      </c>
      <c r="D36" s="48" t="s">
        <v>732</v>
      </c>
      <c r="E36">
        <v>20</v>
      </c>
    </row>
    <row r="37" spans="1:5" x14ac:dyDescent="0.4">
      <c r="D37" s="48" t="s">
        <v>701</v>
      </c>
      <c r="E37">
        <v>100</v>
      </c>
    </row>
  </sheetData>
  <mergeCells count="1">
    <mergeCell ref="C24:E25"/>
  </mergeCell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0FDB4-EF7C-48C8-A3D9-904BA040984E}">
  <dimension ref="A1:V283"/>
  <sheetViews>
    <sheetView topLeftCell="A229" zoomScaleNormal="100" workbookViewId="0">
      <selection activeCell="A234" sqref="A234"/>
    </sheetView>
  </sheetViews>
  <sheetFormatPr defaultRowHeight="14.6" x14ac:dyDescent="0.4"/>
  <cols>
    <col min="1" max="1" width="15.07421875" bestFit="1" customWidth="1"/>
    <col min="2" max="2" width="11.3046875" bestFit="1" customWidth="1"/>
    <col min="3" max="3" width="9.23046875" bestFit="1" customWidth="1"/>
    <col min="4" max="4" width="10.53515625" bestFit="1" customWidth="1"/>
    <col min="5" max="5" width="7.84375" bestFit="1" customWidth="1"/>
    <col min="6" max="6" width="6.84375" bestFit="1" customWidth="1"/>
    <col min="7" max="7" width="7.921875" bestFit="1" customWidth="1"/>
    <col min="8" max="8" width="10" bestFit="1" customWidth="1"/>
    <col min="9" max="9" width="5.921875" bestFit="1" customWidth="1"/>
    <col min="10" max="10" width="5.61328125" bestFit="1" customWidth="1"/>
    <col min="11" max="11" width="7.15234375" bestFit="1" customWidth="1"/>
    <col min="12" max="12" width="8.3046875" bestFit="1" customWidth="1"/>
    <col min="13" max="13" width="7.61328125" bestFit="1" customWidth="1"/>
    <col min="14" max="14" width="5.84375" bestFit="1" customWidth="1"/>
    <col min="15" max="15" width="5.07421875" bestFit="1" customWidth="1"/>
    <col min="16" max="16" width="10.4609375" bestFit="1" customWidth="1"/>
    <col min="17" max="17" width="6.15234375" bestFit="1" customWidth="1"/>
    <col min="18" max="18" width="5.53515625" bestFit="1" customWidth="1"/>
    <col min="19" max="19" width="8.765625" bestFit="1" customWidth="1"/>
    <col min="20" max="20" width="4.921875" bestFit="1" customWidth="1"/>
    <col min="21" max="21" width="6.84375" bestFit="1" customWidth="1"/>
    <col min="22" max="22" width="7.4609375" bestFit="1" customWidth="1"/>
    <col min="23" max="23" width="10.15234375" bestFit="1" customWidth="1"/>
    <col min="24" max="24" width="5.4609375" bestFit="1" customWidth="1"/>
    <col min="25" max="25" width="6.4609375" bestFit="1" customWidth="1"/>
    <col min="26" max="26" width="7.23046875" bestFit="1" customWidth="1"/>
    <col min="27" max="27" width="10.84375" bestFit="1" customWidth="1"/>
    <col min="28" max="28" width="4.84375" bestFit="1" customWidth="1"/>
    <col min="29" max="29" width="7.921875" bestFit="1" customWidth="1"/>
    <col min="30" max="30" width="6.53515625" bestFit="1" customWidth="1"/>
    <col min="31" max="31" width="10.765625" bestFit="1" customWidth="1"/>
    <col min="32" max="32" width="8" bestFit="1" customWidth="1"/>
    <col min="33" max="33" width="6.61328125" bestFit="1" customWidth="1"/>
    <col min="34" max="34" width="5.61328125" bestFit="1" customWidth="1"/>
    <col min="35" max="35" width="8.69140625" bestFit="1" customWidth="1"/>
    <col min="36" max="36" width="5.921875" bestFit="1" customWidth="1"/>
    <col min="37" max="38" width="10.921875" bestFit="1" customWidth="1"/>
    <col min="39" max="39" width="5.84375" bestFit="1" customWidth="1"/>
    <col min="40" max="40" width="7.69140625" bestFit="1" customWidth="1"/>
    <col min="41" max="41" width="5.84375" bestFit="1" customWidth="1"/>
    <col min="42" max="42" width="6" bestFit="1" customWidth="1"/>
    <col min="43" max="43" width="3.84375" bestFit="1" customWidth="1"/>
    <col min="44" max="44" width="4.84375" bestFit="1" customWidth="1"/>
    <col min="45" max="45" width="5.84375" bestFit="1" customWidth="1"/>
    <col min="46" max="46" width="14.69140625" bestFit="1" customWidth="1"/>
    <col min="47" max="47" width="9.07421875" bestFit="1" customWidth="1"/>
    <col min="48" max="48" width="15.69140625" bestFit="1" customWidth="1"/>
    <col min="49" max="49" width="6.23046875" bestFit="1" customWidth="1"/>
    <col min="50" max="50" width="10.4609375" bestFit="1" customWidth="1"/>
  </cols>
  <sheetData>
    <row r="1" spans="1:22" x14ac:dyDescent="0.4">
      <c r="A1" s="11" t="s">
        <v>476</v>
      </c>
      <c r="B1" s="11" t="s">
        <v>477</v>
      </c>
      <c r="C1" s="11" t="s">
        <v>132</v>
      </c>
      <c r="D1" s="11" t="s">
        <v>126</v>
      </c>
      <c r="E1" s="11" t="s">
        <v>127</v>
      </c>
      <c r="F1" s="11" t="s">
        <v>478</v>
      </c>
      <c r="G1" s="11" t="s">
        <v>479</v>
      </c>
      <c r="H1" s="11" t="s">
        <v>480</v>
      </c>
      <c r="I1" s="11" t="s">
        <v>481</v>
      </c>
      <c r="J1" s="11" t="s">
        <v>482</v>
      </c>
      <c r="K1" s="11" t="s">
        <v>483</v>
      </c>
      <c r="L1" s="11" t="s">
        <v>484</v>
      </c>
      <c r="M1" s="11" t="s">
        <v>485</v>
      </c>
      <c r="N1" s="11" t="s">
        <v>486</v>
      </c>
      <c r="O1" s="11" t="s">
        <v>487</v>
      </c>
      <c r="Q1" s="52" t="s">
        <v>736</v>
      </c>
    </row>
    <row r="2" spans="1:22" x14ac:dyDescent="0.4">
      <c r="A2" s="11" t="s">
        <v>488</v>
      </c>
      <c r="B2" s="11" t="s">
        <v>135</v>
      </c>
      <c r="C2" s="11" t="s">
        <v>139</v>
      </c>
      <c r="D2" s="10">
        <v>28</v>
      </c>
      <c r="E2" s="11" t="s">
        <v>136</v>
      </c>
      <c r="F2" s="11" t="s">
        <v>89</v>
      </c>
      <c r="G2" s="11" t="s">
        <v>88</v>
      </c>
      <c r="H2" s="10">
        <v>55000</v>
      </c>
      <c r="I2" s="10">
        <v>1</v>
      </c>
      <c r="J2" s="12">
        <v>46027</v>
      </c>
      <c r="K2" s="11" t="s">
        <v>489</v>
      </c>
      <c r="L2" s="10">
        <v>300000</v>
      </c>
      <c r="M2" s="10">
        <v>5</v>
      </c>
      <c r="N2" s="10">
        <v>9.5</v>
      </c>
      <c r="O2" s="11" t="s">
        <v>490</v>
      </c>
      <c r="Q2" s="53" t="s">
        <v>737</v>
      </c>
      <c r="R2" s="11" t="s">
        <v>484</v>
      </c>
    </row>
    <row r="3" spans="1:22" x14ac:dyDescent="0.4">
      <c r="A3" s="11" t="s">
        <v>491</v>
      </c>
      <c r="B3" s="11" t="s">
        <v>140</v>
      </c>
      <c r="C3" s="11" t="s">
        <v>144</v>
      </c>
      <c r="D3" s="10">
        <v>32</v>
      </c>
      <c r="E3" s="11" t="s">
        <v>141</v>
      </c>
      <c r="F3" s="11" t="s">
        <v>492</v>
      </c>
      <c r="G3" s="11" t="s">
        <v>493</v>
      </c>
      <c r="H3" s="10">
        <v>2500</v>
      </c>
      <c r="I3" s="10">
        <v>2</v>
      </c>
      <c r="J3" s="12">
        <v>46029</v>
      </c>
      <c r="K3" s="11" t="s">
        <v>494</v>
      </c>
      <c r="L3" s="10">
        <v>150000</v>
      </c>
      <c r="M3" s="10">
        <v>3</v>
      </c>
      <c r="N3" s="10">
        <v>10.199999999999999</v>
      </c>
      <c r="O3" s="11" t="s">
        <v>490</v>
      </c>
      <c r="Q3" s="53" t="str">
        <f>IF(D2&lt;20,"KID",IF(D2&lt;40,"ADULT",IF(D2&gt;=40,"SENIOUR")))</f>
        <v>ADULT</v>
      </c>
      <c r="R3" s="10">
        <v>300000</v>
      </c>
    </row>
    <row r="4" spans="1:22" x14ac:dyDescent="0.4">
      <c r="A4" s="11" t="s">
        <v>495</v>
      </c>
      <c r="B4" s="11" t="s">
        <v>145</v>
      </c>
      <c r="C4" s="11" t="s">
        <v>139</v>
      </c>
      <c r="D4" s="10">
        <v>41</v>
      </c>
      <c r="E4" s="11" t="s">
        <v>136</v>
      </c>
      <c r="F4" s="11" t="s">
        <v>96</v>
      </c>
      <c r="G4" s="11" t="s">
        <v>496</v>
      </c>
      <c r="H4" s="10">
        <v>4500</v>
      </c>
      <c r="I4" s="10">
        <v>4</v>
      </c>
      <c r="J4" s="12">
        <v>46032</v>
      </c>
      <c r="K4" s="11" t="s">
        <v>497</v>
      </c>
      <c r="L4" s="10">
        <v>500000</v>
      </c>
      <c r="M4" s="10">
        <v>7</v>
      </c>
      <c r="N4" s="10">
        <v>8.9</v>
      </c>
      <c r="O4" s="11" t="s">
        <v>490</v>
      </c>
      <c r="Q4" s="53" t="str">
        <f t="shared" ref="Q4:Q51" si="0">IF(D3&lt;20,"KID",IF(D3&lt;40,"ADULT",IF(D3&gt;=40,"SENIOUR")))</f>
        <v>ADULT</v>
      </c>
      <c r="R4" s="10">
        <v>150000</v>
      </c>
    </row>
    <row r="5" spans="1:22" x14ac:dyDescent="0.4">
      <c r="A5" s="11" t="s">
        <v>498</v>
      </c>
      <c r="B5" s="11" t="s">
        <v>499</v>
      </c>
      <c r="C5" s="11" t="s">
        <v>224</v>
      </c>
      <c r="D5" s="10">
        <v>26</v>
      </c>
      <c r="E5" s="11" t="s">
        <v>141</v>
      </c>
      <c r="F5" s="11" t="s">
        <v>89</v>
      </c>
      <c r="G5" s="11" t="s">
        <v>112</v>
      </c>
      <c r="H5" s="10">
        <v>1800</v>
      </c>
      <c r="I5" s="10">
        <v>1</v>
      </c>
      <c r="J5" s="12">
        <v>46034</v>
      </c>
      <c r="K5" s="11" t="s">
        <v>489</v>
      </c>
      <c r="L5" s="10">
        <v>100000</v>
      </c>
      <c r="M5" s="10">
        <v>2</v>
      </c>
      <c r="N5" s="10">
        <v>11.5</v>
      </c>
      <c r="O5" s="11" t="s">
        <v>500</v>
      </c>
      <c r="Q5" s="53" t="str">
        <f t="shared" si="0"/>
        <v>SENIOUR</v>
      </c>
      <c r="R5" s="10">
        <v>500000</v>
      </c>
      <c r="U5" s="47" t="s">
        <v>700</v>
      </c>
      <c r="V5" t="s">
        <v>713</v>
      </c>
    </row>
    <row r="6" spans="1:22" x14ac:dyDescent="0.4">
      <c r="A6" s="11" t="s">
        <v>501</v>
      </c>
      <c r="B6" s="11" t="s">
        <v>151</v>
      </c>
      <c r="C6" s="11" t="s">
        <v>502</v>
      </c>
      <c r="D6" s="10">
        <v>35</v>
      </c>
      <c r="E6" s="11" t="s">
        <v>136</v>
      </c>
      <c r="F6" s="11" t="s">
        <v>89</v>
      </c>
      <c r="G6" s="11" t="s">
        <v>503</v>
      </c>
      <c r="H6" s="10">
        <v>22000</v>
      </c>
      <c r="I6" s="10">
        <v>1</v>
      </c>
      <c r="J6" s="12">
        <v>46037</v>
      </c>
      <c r="K6" s="11" t="s">
        <v>494</v>
      </c>
      <c r="L6" s="10">
        <v>250000</v>
      </c>
      <c r="M6" s="10">
        <v>4</v>
      </c>
      <c r="N6" s="10">
        <v>9.8000000000000007</v>
      </c>
      <c r="O6" s="11" t="s">
        <v>490</v>
      </c>
      <c r="Q6" s="53" t="str">
        <f t="shared" si="0"/>
        <v>ADULT</v>
      </c>
      <c r="R6" s="10">
        <v>100000</v>
      </c>
      <c r="U6" s="48" t="s">
        <v>738</v>
      </c>
      <c r="V6">
        <v>6410000</v>
      </c>
    </row>
    <row r="7" spans="1:22" x14ac:dyDescent="0.4">
      <c r="A7" s="11" t="s">
        <v>504</v>
      </c>
      <c r="B7" s="11" t="s">
        <v>505</v>
      </c>
      <c r="C7" s="11" t="s">
        <v>154</v>
      </c>
      <c r="D7" s="10">
        <v>29</v>
      </c>
      <c r="E7" s="11" t="s">
        <v>141</v>
      </c>
      <c r="F7" s="11" t="s">
        <v>506</v>
      </c>
      <c r="G7" s="11" t="s">
        <v>507</v>
      </c>
      <c r="H7" s="10">
        <v>3200</v>
      </c>
      <c r="I7" s="10">
        <v>3</v>
      </c>
      <c r="J7" s="12">
        <v>46040</v>
      </c>
      <c r="K7" s="11" t="s">
        <v>489</v>
      </c>
      <c r="L7" s="10">
        <v>180000</v>
      </c>
      <c r="M7" s="10">
        <v>3</v>
      </c>
      <c r="N7" s="10">
        <v>10.5</v>
      </c>
      <c r="O7" s="11" t="s">
        <v>490</v>
      </c>
      <c r="Q7" s="53" t="str">
        <f t="shared" si="0"/>
        <v>ADULT</v>
      </c>
      <c r="R7" s="10">
        <v>250000</v>
      </c>
      <c r="U7" s="48" t="s">
        <v>739</v>
      </c>
      <c r="V7">
        <v>7250000</v>
      </c>
    </row>
    <row r="8" spans="1:22" x14ac:dyDescent="0.4">
      <c r="A8" s="11" t="s">
        <v>508</v>
      </c>
      <c r="B8" s="11" t="s">
        <v>509</v>
      </c>
      <c r="C8" s="11" t="s">
        <v>172</v>
      </c>
      <c r="D8" s="10">
        <v>45</v>
      </c>
      <c r="E8" s="11" t="s">
        <v>136</v>
      </c>
      <c r="F8" s="11" t="s">
        <v>510</v>
      </c>
      <c r="G8" s="11" t="s">
        <v>511</v>
      </c>
      <c r="H8" s="10">
        <v>1200</v>
      </c>
      <c r="I8" s="10">
        <v>5</v>
      </c>
      <c r="J8" s="12">
        <v>46042</v>
      </c>
      <c r="K8" s="11" t="s">
        <v>512</v>
      </c>
      <c r="L8" s="10">
        <v>400000</v>
      </c>
      <c r="M8" s="10">
        <v>6</v>
      </c>
      <c r="N8" s="10">
        <v>9.1999999999999993</v>
      </c>
      <c r="O8" s="11" t="s">
        <v>490</v>
      </c>
      <c r="Q8" s="53" t="str">
        <f t="shared" si="0"/>
        <v>ADULT</v>
      </c>
      <c r="R8" s="10">
        <v>180000</v>
      </c>
      <c r="U8" s="48" t="s">
        <v>701</v>
      </c>
      <c r="V8">
        <v>13660000</v>
      </c>
    </row>
    <row r="9" spans="1:22" x14ac:dyDescent="0.4">
      <c r="A9" s="11" t="s">
        <v>513</v>
      </c>
      <c r="B9" s="11" t="s">
        <v>165</v>
      </c>
      <c r="C9" s="11" t="s">
        <v>139</v>
      </c>
      <c r="D9" s="10">
        <v>31</v>
      </c>
      <c r="E9" s="11" t="s">
        <v>141</v>
      </c>
      <c r="F9" s="11" t="s">
        <v>492</v>
      </c>
      <c r="G9" s="11" t="s">
        <v>514</v>
      </c>
      <c r="H9" s="10">
        <v>3500</v>
      </c>
      <c r="I9" s="10">
        <v>2</v>
      </c>
      <c r="J9" s="12">
        <v>46044</v>
      </c>
      <c r="K9" s="11" t="s">
        <v>489</v>
      </c>
      <c r="L9" s="10">
        <v>200000</v>
      </c>
      <c r="M9" s="10">
        <v>4</v>
      </c>
      <c r="N9" s="10">
        <v>10</v>
      </c>
      <c r="O9" s="11" t="s">
        <v>490</v>
      </c>
      <c r="Q9" s="53" t="str">
        <f t="shared" si="0"/>
        <v>SENIOUR</v>
      </c>
      <c r="R9" s="10">
        <v>400000</v>
      </c>
    </row>
    <row r="10" spans="1:22" x14ac:dyDescent="0.4">
      <c r="A10" s="11" t="s">
        <v>515</v>
      </c>
      <c r="B10" s="11" t="s">
        <v>516</v>
      </c>
      <c r="C10" s="11" t="s">
        <v>168</v>
      </c>
      <c r="D10" s="10">
        <v>38</v>
      </c>
      <c r="E10" s="11" t="s">
        <v>136</v>
      </c>
      <c r="F10" s="11" t="s">
        <v>89</v>
      </c>
      <c r="G10" s="11" t="s">
        <v>517</v>
      </c>
      <c r="H10" s="10">
        <v>18000</v>
      </c>
      <c r="I10" s="10">
        <v>1</v>
      </c>
      <c r="J10" s="12">
        <v>46047</v>
      </c>
      <c r="K10" s="11" t="s">
        <v>497</v>
      </c>
      <c r="L10" s="10">
        <v>350000</v>
      </c>
      <c r="M10" s="10">
        <v>5</v>
      </c>
      <c r="N10" s="10">
        <v>9.6999999999999993</v>
      </c>
      <c r="O10" s="11" t="s">
        <v>490</v>
      </c>
      <c r="Q10" s="53" t="str">
        <f t="shared" si="0"/>
        <v>ADULT</v>
      </c>
      <c r="R10" s="10">
        <v>200000</v>
      </c>
    </row>
    <row r="11" spans="1:22" x14ac:dyDescent="0.4">
      <c r="A11" s="11" t="s">
        <v>518</v>
      </c>
      <c r="B11" s="11" t="s">
        <v>519</v>
      </c>
      <c r="C11" s="11" t="s">
        <v>150</v>
      </c>
      <c r="D11" s="10">
        <v>27</v>
      </c>
      <c r="E11" s="11" t="s">
        <v>141</v>
      </c>
      <c r="F11" s="11" t="s">
        <v>520</v>
      </c>
      <c r="G11" s="11" t="s">
        <v>521</v>
      </c>
      <c r="H11" s="10">
        <v>4500</v>
      </c>
      <c r="I11" s="10">
        <v>1</v>
      </c>
      <c r="J11" s="12">
        <v>46050</v>
      </c>
      <c r="K11" s="11" t="s">
        <v>494</v>
      </c>
      <c r="L11" s="10">
        <v>120000</v>
      </c>
      <c r="M11" s="10">
        <v>2</v>
      </c>
      <c r="N11" s="10">
        <v>11.2</v>
      </c>
      <c r="O11" s="11" t="s">
        <v>500</v>
      </c>
      <c r="Q11" s="53" t="str">
        <f t="shared" si="0"/>
        <v>ADULT</v>
      </c>
      <c r="R11" s="10">
        <v>350000</v>
      </c>
    </row>
    <row r="12" spans="1:22" x14ac:dyDescent="0.4">
      <c r="A12" s="11" t="s">
        <v>522</v>
      </c>
      <c r="B12" s="11" t="s">
        <v>523</v>
      </c>
      <c r="C12" s="11" t="s">
        <v>139</v>
      </c>
      <c r="D12" s="10">
        <v>33</v>
      </c>
      <c r="E12" s="11" t="s">
        <v>136</v>
      </c>
      <c r="F12" s="11" t="s">
        <v>89</v>
      </c>
      <c r="G12" s="11" t="s">
        <v>107</v>
      </c>
      <c r="H12" s="10">
        <v>15000</v>
      </c>
      <c r="I12" s="10">
        <v>2</v>
      </c>
      <c r="J12" s="12">
        <v>46055</v>
      </c>
      <c r="K12" s="11" t="s">
        <v>489</v>
      </c>
      <c r="L12" s="10">
        <v>275000</v>
      </c>
      <c r="M12" s="10">
        <v>5</v>
      </c>
      <c r="N12" s="10">
        <v>9.6</v>
      </c>
      <c r="O12" s="11" t="s">
        <v>490</v>
      </c>
      <c r="Q12" s="53" t="str">
        <f t="shared" si="0"/>
        <v>ADULT</v>
      </c>
      <c r="R12" s="10">
        <v>120000</v>
      </c>
    </row>
    <row r="13" spans="1:22" x14ac:dyDescent="0.4">
      <c r="A13" s="11" t="s">
        <v>524</v>
      </c>
      <c r="B13" s="11" t="s">
        <v>184</v>
      </c>
      <c r="C13" s="11" t="s">
        <v>185</v>
      </c>
      <c r="D13" s="10">
        <v>30</v>
      </c>
      <c r="E13" s="11" t="s">
        <v>141</v>
      </c>
      <c r="F13" s="11" t="s">
        <v>492</v>
      </c>
      <c r="G13" s="11" t="s">
        <v>525</v>
      </c>
      <c r="H13" s="10">
        <v>2800</v>
      </c>
      <c r="I13" s="10">
        <v>2</v>
      </c>
      <c r="J13" s="12">
        <v>46057</v>
      </c>
      <c r="K13" s="11" t="s">
        <v>489</v>
      </c>
      <c r="L13" s="10">
        <v>160000</v>
      </c>
      <c r="M13" s="10">
        <v>3</v>
      </c>
      <c r="N13" s="10">
        <v>10.4</v>
      </c>
      <c r="O13" s="11" t="s">
        <v>490</v>
      </c>
      <c r="Q13" s="53" t="str">
        <f t="shared" si="0"/>
        <v>ADULT</v>
      </c>
      <c r="R13" s="10">
        <v>275000</v>
      </c>
    </row>
    <row r="14" spans="1:22" x14ac:dyDescent="0.4">
      <c r="A14" s="11" t="s">
        <v>526</v>
      </c>
      <c r="B14" s="11" t="s">
        <v>527</v>
      </c>
      <c r="C14" s="11" t="s">
        <v>172</v>
      </c>
      <c r="D14" s="10">
        <v>42</v>
      </c>
      <c r="E14" s="11" t="s">
        <v>136</v>
      </c>
      <c r="F14" s="11" t="s">
        <v>96</v>
      </c>
      <c r="G14" s="11" t="s">
        <v>528</v>
      </c>
      <c r="H14" s="10">
        <v>12000</v>
      </c>
      <c r="I14" s="10">
        <v>1</v>
      </c>
      <c r="J14" s="12">
        <v>46059</v>
      </c>
      <c r="K14" s="11" t="s">
        <v>497</v>
      </c>
      <c r="L14" s="10">
        <v>450000</v>
      </c>
      <c r="M14" s="10">
        <v>7</v>
      </c>
      <c r="N14" s="10">
        <v>8.8000000000000007</v>
      </c>
      <c r="O14" s="11" t="s">
        <v>490</v>
      </c>
      <c r="Q14" s="53" t="str">
        <f t="shared" si="0"/>
        <v>ADULT</v>
      </c>
      <c r="R14" s="10">
        <v>160000</v>
      </c>
    </row>
    <row r="15" spans="1:22" x14ac:dyDescent="0.4">
      <c r="A15" s="11" t="s">
        <v>529</v>
      </c>
      <c r="B15" s="11" t="s">
        <v>177</v>
      </c>
      <c r="C15" s="11" t="s">
        <v>139</v>
      </c>
      <c r="D15" s="10">
        <v>24</v>
      </c>
      <c r="E15" s="11" t="s">
        <v>141</v>
      </c>
      <c r="F15" s="11" t="s">
        <v>506</v>
      </c>
      <c r="G15" s="11" t="s">
        <v>530</v>
      </c>
      <c r="H15" s="10">
        <v>2200</v>
      </c>
      <c r="I15" s="10">
        <v>2</v>
      </c>
      <c r="J15" s="12">
        <v>46061</v>
      </c>
      <c r="K15" s="11" t="s">
        <v>494</v>
      </c>
      <c r="L15" s="10">
        <v>80000</v>
      </c>
      <c r="M15" s="10">
        <v>2</v>
      </c>
      <c r="N15" s="10">
        <v>12</v>
      </c>
      <c r="O15" s="11" t="s">
        <v>500</v>
      </c>
      <c r="Q15" s="53" t="str">
        <f t="shared" si="0"/>
        <v>SENIOUR</v>
      </c>
      <c r="R15" s="10">
        <v>450000</v>
      </c>
    </row>
    <row r="16" spans="1:22" x14ac:dyDescent="0.4">
      <c r="A16" s="11" t="s">
        <v>531</v>
      </c>
      <c r="B16" s="11" t="s">
        <v>532</v>
      </c>
      <c r="C16" s="11" t="s">
        <v>192</v>
      </c>
      <c r="D16" s="10">
        <v>39</v>
      </c>
      <c r="E16" s="11" t="s">
        <v>136</v>
      </c>
      <c r="F16" s="11" t="s">
        <v>89</v>
      </c>
      <c r="G16" s="11" t="s">
        <v>533</v>
      </c>
      <c r="H16" s="10">
        <v>32000</v>
      </c>
      <c r="I16" s="10">
        <v>1</v>
      </c>
      <c r="J16" s="12">
        <v>46063</v>
      </c>
      <c r="K16" s="11" t="s">
        <v>489</v>
      </c>
      <c r="L16" s="10">
        <v>300000</v>
      </c>
      <c r="M16" s="10">
        <v>5</v>
      </c>
      <c r="N16" s="10">
        <v>9.9</v>
      </c>
      <c r="O16" s="11" t="s">
        <v>490</v>
      </c>
      <c r="Q16" s="53" t="str">
        <f t="shared" si="0"/>
        <v>ADULT</v>
      </c>
      <c r="R16" s="10">
        <v>80000</v>
      </c>
    </row>
    <row r="17" spans="1:18" x14ac:dyDescent="0.4">
      <c r="A17" s="11" t="s">
        <v>534</v>
      </c>
      <c r="B17" s="11" t="s">
        <v>535</v>
      </c>
      <c r="C17" s="11" t="s">
        <v>176</v>
      </c>
      <c r="D17" s="10">
        <v>28</v>
      </c>
      <c r="E17" s="11" t="s">
        <v>141</v>
      </c>
      <c r="F17" s="11" t="s">
        <v>510</v>
      </c>
      <c r="G17" s="11" t="s">
        <v>536</v>
      </c>
      <c r="H17" s="10">
        <v>850</v>
      </c>
      <c r="I17" s="10">
        <v>4</v>
      </c>
      <c r="J17" s="12">
        <v>46065</v>
      </c>
      <c r="K17" s="11" t="s">
        <v>489</v>
      </c>
      <c r="L17" s="10">
        <v>175000</v>
      </c>
      <c r="M17" s="10">
        <v>3</v>
      </c>
      <c r="N17" s="10">
        <v>10.1</v>
      </c>
      <c r="O17" s="11" t="s">
        <v>490</v>
      </c>
      <c r="Q17" s="53" t="str">
        <f t="shared" si="0"/>
        <v>ADULT</v>
      </c>
      <c r="R17" s="10">
        <v>300000</v>
      </c>
    </row>
    <row r="18" spans="1:18" x14ac:dyDescent="0.4">
      <c r="A18" s="11" t="s">
        <v>537</v>
      </c>
      <c r="B18" s="11" t="s">
        <v>538</v>
      </c>
      <c r="C18" s="11" t="s">
        <v>224</v>
      </c>
      <c r="D18" s="10">
        <v>36</v>
      </c>
      <c r="E18" s="11" t="s">
        <v>136</v>
      </c>
      <c r="F18" s="11" t="s">
        <v>96</v>
      </c>
      <c r="G18" s="11" t="s">
        <v>539</v>
      </c>
      <c r="H18" s="10">
        <v>28000</v>
      </c>
      <c r="I18" s="10">
        <v>1</v>
      </c>
      <c r="J18" s="12">
        <v>46068</v>
      </c>
      <c r="K18" s="11" t="s">
        <v>494</v>
      </c>
      <c r="L18" s="10">
        <v>550000</v>
      </c>
      <c r="M18" s="10">
        <v>8</v>
      </c>
      <c r="N18" s="10">
        <v>8.6999999999999993</v>
      </c>
      <c r="O18" s="11" t="s">
        <v>490</v>
      </c>
      <c r="Q18" s="53" t="str">
        <f t="shared" si="0"/>
        <v>ADULT</v>
      </c>
      <c r="R18" s="10">
        <v>175000</v>
      </c>
    </row>
    <row r="19" spans="1:18" x14ac:dyDescent="0.4">
      <c r="A19" s="11" t="s">
        <v>540</v>
      </c>
      <c r="B19" s="11" t="s">
        <v>169</v>
      </c>
      <c r="C19" s="11" t="s">
        <v>154</v>
      </c>
      <c r="D19" s="10">
        <v>44</v>
      </c>
      <c r="E19" s="11" t="s">
        <v>141</v>
      </c>
      <c r="F19" s="11" t="s">
        <v>492</v>
      </c>
      <c r="G19" s="11" t="s">
        <v>541</v>
      </c>
      <c r="H19" s="10">
        <v>4200</v>
      </c>
      <c r="I19" s="10">
        <v>2</v>
      </c>
      <c r="J19" s="12">
        <v>46070</v>
      </c>
      <c r="K19" s="11" t="s">
        <v>497</v>
      </c>
      <c r="L19" s="10">
        <v>225000</v>
      </c>
      <c r="M19" s="10">
        <v>5</v>
      </c>
      <c r="N19" s="10">
        <v>9.8000000000000007</v>
      </c>
      <c r="O19" s="11" t="s">
        <v>490</v>
      </c>
      <c r="Q19" s="53" t="str">
        <f t="shared" si="0"/>
        <v>ADULT</v>
      </c>
      <c r="R19" s="10">
        <v>550000</v>
      </c>
    </row>
    <row r="20" spans="1:18" x14ac:dyDescent="0.4">
      <c r="A20" s="11" t="s">
        <v>542</v>
      </c>
      <c r="B20" s="11" t="s">
        <v>193</v>
      </c>
      <c r="C20" s="11" t="s">
        <v>139</v>
      </c>
      <c r="D20" s="10">
        <v>51</v>
      </c>
      <c r="E20" s="11" t="s">
        <v>136</v>
      </c>
      <c r="F20" s="11" t="s">
        <v>89</v>
      </c>
      <c r="G20" s="11" t="s">
        <v>543</v>
      </c>
      <c r="H20" s="10">
        <v>45000</v>
      </c>
      <c r="I20" s="10">
        <v>1</v>
      </c>
      <c r="J20" s="12">
        <v>46073</v>
      </c>
      <c r="K20" s="11" t="s">
        <v>489</v>
      </c>
      <c r="L20" s="10">
        <v>600000</v>
      </c>
      <c r="M20" s="10">
        <v>10</v>
      </c>
      <c r="N20" s="10">
        <v>8.5</v>
      </c>
      <c r="O20" s="11" t="s">
        <v>490</v>
      </c>
      <c r="Q20" s="53" t="str">
        <f t="shared" si="0"/>
        <v>SENIOUR</v>
      </c>
      <c r="R20" s="10">
        <v>225000</v>
      </c>
    </row>
    <row r="21" spans="1:18" x14ac:dyDescent="0.4">
      <c r="A21" s="11" t="s">
        <v>544</v>
      </c>
      <c r="B21" s="11" t="s">
        <v>545</v>
      </c>
      <c r="C21" s="11" t="s">
        <v>144</v>
      </c>
      <c r="D21" s="10">
        <v>25</v>
      </c>
      <c r="E21" s="11" t="s">
        <v>141</v>
      </c>
      <c r="F21" s="11" t="s">
        <v>520</v>
      </c>
      <c r="G21" s="11" t="s">
        <v>546</v>
      </c>
      <c r="H21" s="10">
        <v>3800</v>
      </c>
      <c r="I21" s="10">
        <v>3</v>
      </c>
      <c r="J21" s="12">
        <v>46075</v>
      </c>
      <c r="K21" s="11" t="s">
        <v>494</v>
      </c>
      <c r="L21" s="10">
        <v>90000</v>
      </c>
      <c r="M21" s="10">
        <v>2</v>
      </c>
      <c r="N21" s="10">
        <v>11.8</v>
      </c>
      <c r="O21" s="11" t="s">
        <v>500</v>
      </c>
      <c r="Q21" s="53" t="str">
        <f t="shared" si="0"/>
        <v>SENIOUR</v>
      </c>
      <c r="R21" s="10">
        <v>600000</v>
      </c>
    </row>
    <row r="22" spans="1:18" x14ac:dyDescent="0.4">
      <c r="A22" s="11" t="s">
        <v>547</v>
      </c>
      <c r="B22" s="11" t="s">
        <v>548</v>
      </c>
      <c r="C22" s="11" t="s">
        <v>502</v>
      </c>
      <c r="D22" s="10">
        <v>34</v>
      </c>
      <c r="E22" s="11" t="s">
        <v>136</v>
      </c>
      <c r="F22" s="11" t="s">
        <v>89</v>
      </c>
      <c r="G22" s="11" t="s">
        <v>92</v>
      </c>
      <c r="H22" s="10">
        <v>2500</v>
      </c>
      <c r="I22" s="10">
        <v>2</v>
      </c>
      <c r="J22" s="12">
        <v>46078</v>
      </c>
      <c r="K22" s="11" t="s">
        <v>489</v>
      </c>
      <c r="L22" s="10">
        <v>240000</v>
      </c>
      <c r="M22" s="10">
        <v>4</v>
      </c>
      <c r="N22" s="10">
        <v>10</v>
      </c>
      <c r="O22" s="11" t="s">
        <v>490</v>
      </c>
      <c r="Q22" s="53" t="str">
        <f t="shared" si="0"/>
        <v>ADULT</v>
      </c>
      <c r="R22" s="10">
        <v>90000</v>
      </c>
    </row>
    <row r="23" spans="1:18" x14ac:dyDescent="0.4">
      <c r="A23" s="11" t="s">
        <v>549</v>
      </c>
      <c r="B23" s="11" t="s">
        <v>198</v>
      </c>
      <c r="C23" s="11" t="s">
        <v>160</v>
      </c>
      <c r="D23" s="10">
        <v>29</v>
      </c>
      <c r="E23" s="11" t="s">
        <v>141</v>
      </c>
      <c r="F23" s="11" t="s">
        <v>492</v>
      </c>
      <c r="G23" s="11" t="s">
        <v>550</v>
      </c>
      <c r="H23" s="10">
        <v>2200</v>
      </c>
      <c r="I23" s="10">
        <v>2</v>
      </c>
      <c r="J23" s="12">
        <v>46080</v>
      </c>
      <c r="K23" s="11" t="s">
        <v>512</v>
      </c>
      <c r="L23" s="10">
        <v>130000</v>
      </c>
      <c r="M23" s="10">
        <v>3</v>
      </c>
      <c r="N23" s="10">
        <v>10.6</v>
      </c>
      <c r="O23" s="11" t="s">
        <v>490</v>
      </c>
      <c r="Q23" s="53" t="str">
        <f t="shared" si="0"/>
        <v>ADULT</v>
      </c>
      <c r="R23" s="10">
        <v>240000</v>
      </c>
    </row>
    <row r="24" spans="1:18" x14ac:dyDescent="0.4">
      <c r="A24" s="11" t="s">
        <v>551</v>
      </c>
      <c r="B24" s="11" t="s">
        <v>552</v>
      </c>
      <c r="C24" s="11" t="s">
        <v>139</v>
      </c>
      <c r="D24" s="10">
        <v>47</v>
      </c>
      <c r="E24" s="11" t="s">
        <v>136</v>
      </c>
      <c r="F24" s="11" t="s">
        <v>96</v>
      </c>
      <c r="G24" s="11" t="s">
        <v>553</v>
      </c>
      <c r="H24" s="10">
        <v>35000</v>
      </c>
      <c r="I24" s="10">
        <v>1</v>
      </c>
      <c r="J24" s="12">
        <v>46082</v>
      </c>
      <c r="K24" s="11" t="s">
        <v>497</v>
      </c>
      <c r="L24" s="10">
        <v>500000</v>
      </c>
      <c r="M24" s="10">
        <v>7</v>
      </c>
      <c r="N24" s="10">
        <v>9</v>
      </c>
      <c r="O24" s="11" t="s">
        <v>490</v>
      </c>
      <c r="Q24" s="53" t="str">
        <f t="shared" si="0"/>
        <v>ADULT</v>
      </c>
      <c r="R24" s="10">
        <v>130000</v>
      </c>
    </row>
    <row r="25" spans="1:18" x14ac:dyDescent="0.4">
      <c r="A25" s="11" t="s">
        <v>554</v>
      </c>
      <c r="B25" s="11" t="s">
        <v>555</v>
      </c>
      <c r="C25" s="11" t="s">
        <v>224</v>
      </c>
      <c r="D25" s="10">
        <v>23</v>
      </c>
      <c r="E25" s="11" t="s">
        <v>141</v>
      </c>
      <c r="F25" s="11" t="s">
        <v>506</v>
      </c>
      <c r="G25" s="11" t="s">
        <v>556</v>
      </c>
      <c r="H25" s="10">
        <v>2900</v>
      </c>
      <c r="I25" s="10">
        <v>2</v>
      </c>
      <c r="J25" s="12">
        <v>46084</v>
      </c>
      <c r="K25" s="11" t="s">
        <v>489</v>
      </c>
      <c r="L25" s="10">
        <v>70000</v>
      </c>
      <c r="M25" s="10">
        <v>2</v>
      </c>
      <c r="N25" s="10">
        <v>12.5</v>
      </c>
      <c r="O25" s="11" t="s">
        <v>500</v>
      </c>
      <c r="Q25" s="53" t="str">
        <f t="shared" si="0"/>
        <v>SENIOUR</v>
      </c>
      <c r="R25" s="10">
        <v>500000</v>
      </c>
    </row>
    <row r="26" spans="1:18" x14ac:dyDescent="0.4">
      <c r="A26" s="11" t="s">
        <v>557</v>
      </c>
      <c r="B26" s="11" t="s">
        <v>558</v>
      </c>
      <c r="C26" s="11" t="s">
        <v>172</v>
      </c>
      <c r="D26" s="10">
        <v>37</v>
      </c>
      <c r="E26" s="11" t="s">
        <v>136</v>
      </c>
      <c r="F26" s="11" t="s">
        <v>89</v>
      </c>
      <c r="G26" s="11" t="s">
        <v>559</v>
      </c>
      <c r="H26" s="10">
        <v>6500</v>
      </c>
      <c r="I26" s="10">
        <v>1</v>
      </c>
      <c r="J26" s="12">
        <v>46086</v>
      </c>
      <c r="K26" s="11" t="s">
        <v>494</v>
      </c>
      <c r="L26" s="10">
        <v>280000</v>
      </c>
      <c r="M26" s="10">
        <v>5</v>
      </c>
      <c r="N26" s="10">
        <v>9.4</v>
      </c>
      <c r="O26" s="11" t="s">
        <v>490</v>
      </c>
      <c r="Q26" s="53" t="str">
        <f t="shared" si="0"/>
        <v>ADULT</v>
      </c>
      <c r="R26" s="10">
        <v>70000</v>
      </c>
    </row>
    <row r="27" spans="1:18" x14ac:dyDescent="0.4">
      <c r="A27" s="11" t="s">
        <v>560</v>
      </c>
      <c r="B27" s="11" t="s">
        <v>561</v>
      </c>
      <c r="C27" s="11" t="s">
        <v>189</v>
      </c>
      <c r="D27" s="10">
        <v>33</v>
      </c>
      <c r="E27" s="11" t="s">
        <v>141</v>
      </c>
      <c r="F27" s="11" t="s">
        <v>510</v>
      </c>
      <c r="G27" s="11" t="s">
        <v>562</v>
      </c>
      <c r="H27" s="10">
        <v>1800</v>
      </c>
      <c r="I27" s="10">
        <v>3</v>
      </c>
      <c r="J27" s="12">
        <v>46088</v>
      </c>
      <c r="K27" s="11" t="s">
        <v>489</v>
      </c>
      <c r="L27" s="10">
        <v>190000</v>
      </c>
      <c r="M27" s="10">
        <v>4</v>
      </c>
      <c r="N27" s="10">
        <v>10.3</v>
      </c>
      <c r="O27" s="11" t="s">
        <v>490</v>
      </c>
      <c r="Q27" s="53" t="str">
        <f t="shared" si="0"/>
        <v>ADULT</v>
      </c>
      <c r="R27" s="10">
        <v>280000</v>
      </c>
    </row>
    <row r="28" spans="1:18" x14ac:dyDescent="0.4">
      <c r="A28" s="11" t="s">
        <v>563</v>
      </c>
      <c r="B28" s="11" t="s">
        <v>564</v>
      </c>
      <c r="C28" s="11" t="s">
        <v>192</v>
      </c>
      <c r="D28" s="10">
        <v>40</v>
      </c>
      <c r="E28" s="11" t="s">
        <v>136</v>
      </c>
      <c r="F28" s="11" t="s">
        <v>89</v>
      </c>
      <c r="G28" s="11" t="s">
        <v>565</v>
      </c>
      <c r="H28" s="10">
        <v>42000</v>
      </c>
      <c r="I28" s="10">
        <v>1</v>
      </c>
      <c r="J28" s="12">
        <v>46091</v>
      </c>
      <c r="K28" s="11" t="s">
        <v>497</v>
      </c>
      <c r="L28" s="10">
        <v>450000</v>
      </c>
      <c r="M28" s="10">
        <v>7</v>
      </c>
      <c r="N28" s="10">
        <v>8.9</v>
      </c>
      <c r="O28" s="11" t="s">
        <v>490</v>
      </c>
      <c r="Q28" s="53" t="str">
        <f t="shared" si="0"/>
        <v>ADULT</v>
      </c>
      <c r="R28" s="10">
        <v>190000</v>
      </c>
    </row>
    <row r="29" spans="1:18" x14ac:dyDescent="0.4">
      <c r="A29" s="11" t="s">
        <v>566</v>
      </c>
      <c r="B29" s="11" t="s">
        <v>567</v>
      </c>
      <c r="C29" s="11" t="s">
        <v>139</v>
      </c>
      <c r="D29" s="10">
        <v>27</v>
      </c>
      <c r="E29" s="11" t="s">
        <v>141</v>
      </c>
      <c r="F29" s="11" t="s">
        <v>492</v>
      </c>
      <c r="G29" s="11" t="s">
        <v>568</v>
      </c>
      <c r="H29" s="10">
        <v>3200</v>
      </c>
      <c r="I29" s="10">
        <v>2</v>
      </c>
      <c r="J29" s="12">
        <v>46093</v>
      </c>
      <c r="K29" s="11" t="s">
        <v>489</v>
      </c>
      <c r="L29" s="10">
        <v>110000</v>
      </c>
      <c r="M29" s="10">
        <v>2</v>
      </c>
      <c r="N29" s="10">
        <v>11</v>
      </c>
      <c r="O29" s="11" t="s">
        <v>490</v>
      </c>
      <c r="Q29" s="53" t="str">
        <f t="shared" si="0"/>
        <v>SENIOUR</v>
      </c>
      <c r="R29" s="10">
        <v>450000</v>
      </c>
    </row>
    <row r="30" spans="1:18" x14ac:dyDescent="0.4">
      <c r="A30" s="11" t="s">
        <v>569</v>
      </c>
      <c r="B30" s="11" t="s">
        <v>570</v>
      </c>
      <c r="C30" s="11" t="s">
        <v>150</v>
      </c>
      <c r="D30" s="10">
        <v>46</v>
      </c>
      <c r="E30" s="11" t="s">
        <v>136</v>
      </c>
      <c r="F30" s="11" t="s">
        <v>96</v>
      </c>
      <c r="G30" s="11" t="s">
        <v>571</v>
      </c>
      <c r="H30" s="10">
        <v>25000</v>
      </c>
      <c r="I30" s="10">
        <v>1</v>
      </c>
      <c r="J30" s="12">
        <v>46096</v>
      </c>
      <c r="K30" s="11" t="s">
        <v>494</v>
      </c>
      <c r="L30" s="10">
        <v>525000</v>
      </c>
      <c r="M30" s="10">
        <v>8</v>
      </c>
      <c r="N30" s="10">
        <v>8.6</v>
      </c>
      <c r="O30" s="11" t="s">
        <v>490</v>
      </c>
      <c r="Q30" s="53" t="str">
        <f>IF(D29&lt;20,"KID",IF(D29&lt;40,"ADULT",IF(D29&gt;=40,"SENIOUR")))</f>
        <v>ADULT</v>
      </c>
      <c r="R30" s="10">
        <v>110000</v>
      </c>
    </row>
    <row r="31" spans="1:18" x14ac:dyDescent="0.4">
      <c r="A31" s="11" t="s">
        <v>572</v>
      </c>
      <c r="B31" s="11" t="s">
        <v>573</v>
      </c>
      <c r="C31" s="11" t="s">
        <v>168</v>
      </c>
      <c r="D31" s="10">
        <v>31</v>
      </c>
      <c r="E31" s="11" t="s">
        <v>141</v>
      </c>
      <c r="F31" s="11" t="s">
        <v>506</v>
      </c>
      <c r="G31" s="11" t="s">
        <v>574</v>
      </c>
      <c r="H31" s="10">
        <v>950</v>
      </c>
      <c r="I31" s="10">
        <v>4</v>
      </c>
      <c r="J31" s="12">
        <v>46098</v>
      </c>
      <c r="K31" s="11" t="s">
        <v>489</v>
      </c>
      <c r="L31" s="10">
        <v>145000</v>
      </c>
      <c r="M31" s="10">
        <v>3</v>
      </c>
      <c r="N31" s="10">
        <v>10.8</v>
      </c>
      <c r="O31" s="11" t="s">
        <v>490</v>
      </c>
      <c r="Q31" s="53" t="str">
        <f t="shared" si="0"/>
        <v>SENIOUR</v>
      </c>
      <c r="R31" s="10">
        <v>525000</v>
      </c>
    </row>
    <row r="32" spans="1:18" x14ac:dyDescent="0.4">
      <c r="A32" s="11" t="s">
        <v>575</v>
      </c>
      <c r="B32" s="11" t="s">
        <v>576</v>
      </c>
      <c r="C32" s="11" t="s">
        <v>577</v>
      </c>
      <c r="D32" s="10">
        <v>35</v>
      </c>
      <c r="E32" s="11" t="s">
        <v>136</v>
      </c>
      <c r="F32" s="11" t="s">
        <v>89</v>
      </c>
      <c r="G32" s="11" t="s">
        <v>104</v>
      </c>
      <c r="H32" s="10">
        <v>12500</v>
      </c>
      <c r="I32" s="10">
        <v>1</v>
      </c>
      <c r="J32" s="12">
        <v>46101</v>
      </c>
      <c r="K32" s="11" t="s">
        <v>497</v>
      </c>
      <c r="L32" s="10">
        <v>260000</v>
      </c>
      <c r="M32" s="10">
        <v>5</v>
      </c>
      <c r="N32" s="10">
        <v>9.6999999999999993</v>
      </c>
      <c r="O32" s="11" t="s">
        <v>490</v>
      </c>
      <c r="Q32" s="53" t="str">
        <f t="shared" si="0"/>
        <v>ADULT</v>
      </c>
      <c r="R32" s="10">
        <v>145000</v>
      </c>
    </row>
    <row r="33" spans="1:18" x14ac:dyDescent="0.4">
      <c r="A33" s="11" t="s">
        <v>578</v>
      </c>
      <c r="B33" s="11" t="s">
        <v>579</v>
      </c>
      <c r="C33" s="11" t="s">
        <v>139</v>
      </c>
      <c r="D33" s="10">
        <v>26</v>
      </c>
      <c r="E33" s="11" t="s">
        <v>141</v>
      </c>
      <c r="F33" s="11" t="s">
        <v>492</v>
      </c>
      <c r="G33" s="11" t="s">
        <v>580</v>
      </c>
      <c r="H33" s="10">
        <v>1200</v>
      </c>
      <c r="I33" s="10">
        <v>3</v>
      </c>
      <c r="J33" s="12">
        <v>46103</v>
      </c>
      <c r="K33" s="11" t="s">
        <v>489</v>
      </c>
      <c r="L33" s="10">
        <v>95000</v>
      </c>
      <c r="M33" s="10">
        <v>2</v>
      </c>
      <c r="N33" s="10">
        <v>11.4</v>
      </c>
      <c r="O33" s="11" t="s">
        <v>500</v>
      </c>
      <c r="Q33" s="53" t="str">
        <f t="shared" si="0"/>
        <v>ADULT</v>
      </c>
      <c r="R33" s="10">
        <v>260000</v>
      </c>
    </row>
    <row r="34" spans="1:18" x14ac:dyDescent="0.4">
      <c r="A34" s="11" t="s">
        <v>581</v>
      </c>
      <c r="B34" s="11" t="s">
        <v>582</v>
      </c>
      <c r="C34" s="11" t="s">
        <v>185</v>
      </c>
      <c r="D34" s="10">
        <v>43</v>
      </c>
      <c r="E34" s="11" t="s">
        <v>136</v>
      </c>
      <c r="F34" s="11" t="s">
        <v>510</v>
      </c>
      <c r="G34" s="11" t="s">
        <v>583</v>
      </c>
      <c r="H34" s="10">
        <v>1600</v>
      </c>
      <c r="I34" s="10">
        <v>5</v>
      </c>
      <c r="J34" s="12">
        <v>46105</v>
      </c>
      <c r="K34" s="11" t="s">
        <v>512</v>
      </c>
      <c r="L34" s="10">
        <v>375000</v>
      </c>
      <c r="M34" s="10">
        <v>6</v>
      </c>
      <c r="N34" s="10">
        <v>9.1</v>
      </c>
      <c r="O34" s="11" t="s">
        <v>490</v>
      </c>
      <c r="Q34" s="53" t="str">
        <f t="shared" si="0"/>
        <v>ADULT</v>
      </c>
      <c r="R34" s="10">
        <v>95000</v>
      </c>
    </row>
    <row r="35" spans="1:18" x14ac:dyDescent="0.4">
      <c r="A35" s="11" t="s">
        <v>584</v>
      </c>
      <c r="B35" s="11" t="s">
        <v>585</v>
      </c>
      <c r="C35" s="11" t="s">
        <v>224</v>
      </c>
      <c r="D35" s="10">
        <v>30</v>
      </c>
      <c r="E35" s="11" t="s">
        <v>141</v>
      </c>
      <c r="F35" s="11" t="s">
        <v>520</v>
      </c>
      <c r="G35" s="11" t="s">
        <v>586</v>
      </c>
      <c r="H35" s="10">
        <v>8500</v>
      </c>
      <c r="I35" s="10">
        <v>1</v>
      </c>
      <c r="J35" s="12">
        <v>46107</v>
      </c>
      <c r="K35" s="11" t="s">
        <v>494</v>
      </c>
      <c r="L35" s="10">
        <v>210000</v>
      </c>
      <c r="M35" s="10">
        <v>4</v>
      </c>
      <c r="N35" s="10">
        <v>10</v>
      </c>
      <c r="O35" s="11" t="s">
        <v>490</v>
      </c>
      <c r="Q35" s="53" t="str">
        <f t="shared" si="0"/>
        <v>SENIOUR</v>
      </c>
      <c r="R35" s="10">
        <v>375000</v>
      </c>
    </row>
    <row r="36" spans="1:18" x14ac:dyDescent="0.4">
      <c r="A36" s="11" t="s">
        <v>587</v>
      </c>
      <c r="B36" s="11" t="s">
        <v>588</v>
      </c>
      <c r="C36" s="11" t="s">
        <v>139</v>
      </c>
      <c r="D36" s="10">
        <v>49</v>
      </c>
      <c r="E36" s="11" t="s">
        <v>136</v>
      </c>
      <c r="F36" s="11" t="s">
        <v>89</v>
      </c>
      <c r="G36" s="11" t="s">
        <v>589</v>
      </c>
      <c r="H36" s="10">
        <v>30000</v>
      </c>
      <c r="I36" s="10">
        <v>1</v>
      </c>
      <c r="J36" s="12">
        <v>46109</v>
      </c>
      <c r="K36" s="11" t="s">
        <v>489</v>
      </c>
      <c r="L36" s="10">
        <v>650000</v>
      </c>
      <c r="M36" s="10">
        <v>10</v>
      </c>
      <c r="N36" s="10">
        <v>8.4</v>
      </c>
      <c r="O36" s="11" t="s">
        <v>490</v>
      </c>
      <c r="Q36" s="53" t="str">
        <f t="shared" si="0"/>
        <v>ADULT</v>
      </c>
      <c r="R36" s="10">
        <v>210000</v>
      </c>
    </row>
    <row r="37" spans="1:18" x14ac:dyDescent="0.4">
      <c r="A37" s="11" t="s">
        <v>590</v>
      </c>
      <c r="B37" s="11" t="s">
        <v>591</v>
      </c>
      <c r="C37" s="11" t="s">
        <v>172</v>
      </c>
      <c r="D37" s="10">
        <v>28</v>
      </c>
      <c r="E37" s="11" t="s">
        <v>141</v>
      </c>
      <c r="F37" s="11" t="s">
        <v>492</v>
      </c>
      <c r="G37" s="11" t="s">
        <v>592</v>
      </c>
      <c r="H37" s="10">
        <v>4500</v>
      </c>
      <c r="I37" s="10">
        <v>1</v>
      </c>
      <c r="J37" s="12">
        <v>46111</v>
      </c>
      <c r="K37" s="11" t="s">
        <v>489</v>
      </c>
      <c r="L37" s="10">
        <v>125000</v>
      </c>
      <c r="M37" s="10">
        <v>3</v>
      </c>
      <c r="N37" s="10">
        <v>10.7</v>
      </c>
      <c r="O37" s="11" t="s">
        <v>490</v>
      </c>
      <c r="Q37" s="53" t="str">
        <f t="shared" si="0"/>
        <v>SENIOUR</v>
      </c>
      <c r="R37" s="10">
        <v>650000</v>
      </c>
    </row>
    <row r="38" spans="1:18" x14ac:dyDescent="0.4">
      <c r="A38" s="11" t="s">
        <v>593</v>
      </c>
      <c r="B38" s="11" t="s">
        <v>594</v>
      </c>
      <c r="C38" s="11" t="s">
        <v>502</v>
      </c>
      <c r="D38" s="10">
        <v>52</v>
      </c>
      <c r="E38" s="11" t="s">
        <v>136</v>
      </c>
      <c r="F38" s="11" t="s">
        <v>96</v>
      </c>
      <c r="G38" s="11" t="s">
        <v>595</v>
      </c>
      <c r="H38" s="10">
        <v>32000</v>
      </c>
      <c r="I38" s="10">
        <v>1</v>
      </c>
      <c r="J38" s="12">
        <v>46114</v>
      </c>
      <c r="K38" s="11" t="s">
        <v>497</v>
      </c>
      <c r="L38" s="10">
        <v>700000</v>
      </c>
      <c r="M38" s="10">
        <v>10</v>
      </c>
      <c r="N38" s="10">
        <v>8.3000000000000007</v>
      </c>
      <c r="O38" s="11" t="s">
        <v>490</v>
      </c>
      <c r="Q38" s="53" t="str">
        <f t="shared" si="0"/>
        <v>ADULT</v>
      </c>
      <c r="R38" s="10">
        <v>125000</v>
      </c>
    </row>
    <row r="39" spans="1:18" x14ac:dyDescent="0.4">
      <c r="A39" s="11" t="s">
        <v>596</v>
      </c>
      <c r="B39" s="11" t="s">
        <v>597</v>
      </c>
      <c r="C39" s="11" t="s">
        <v>577</v>
      </c>
      <c r="D39" s="10">
        <v>25</v>
      </c>
      <c r="E39" s="11" t="s">
        <v>141</v>
      </c>
      <c r="F39" s="11" t="s">
        <v>506</v>
      </c>
      <c r="G39" s="11" t="s">
        <v>598</v>
      </c>
      <c r="H39" s="10">
        <v>750</v>
      </c>
      <c r="I39" s="10">
        <v>5</v>
      </c>
      <c r="J39" s="12">
        <v>46116</v>
      </c>
      <c r="K39" s="11" t="s">
        <v>494</v>
      </c>
      <c r="L39" s="10">
        <v>60000</v>
      </c>
      <c r="M39" s="10">
        <v>2</v>
      </c>
      <c r="N39" s="10">
        <v>12.8</v>
      </c>
      <c r="O39" s="11" t="s">
        <v>500</v>
      </c>
      <c r="Q39" s="53" t="str">
        <f t="shared" si="0"/>
        <v>SENIOUR</v>
      </c>
      <c r="R39" s="10">
        <v>700000</v>
      </c>
    </row>
    <row r="40" spans="1:18" x14ac:dyDescent="0.4">
      <c r="A40" s="11" t="s">
        <v>599</v>
      </c>
      <c r="B40" s="11" t="s">
        <v>600</v>
      </c>
      <c r="C40" s="11" t="s">
        <v>192</v>
      </c>
      <c r="D40" s="10">
        <v>36</v>
      </c>
      <c r="E40" s="11" t="s">
        <v>136</v>
      </c>
      <c r="F40" s="11" t="s">
        <v>89</v>
      </c>
      <c r="G40" s="11" t="s">
        <v>601</v>
      </c>
      <c r="H40" s="10">
        <v>38000</v>
      </c>
      <c r="I40" s="10">
        <v>1</v>
      </c>
      <c r="J40" s="12">
        <v>46118</v>
      </c>
      <c r="K40" s="11" t="s">
        <v>489</v>
      </c>
      <c r="L40" s="10">
        <v>325000</v>
      </c>
      <c r="M40" s="10">
        <v>5</v>
      </c>
      <c r="N40" s="10">
        <v>9.5</v>
      </c>
      <c r="O40" s="11" t="s">
        <v>490</v>
      </c>
      <c r="Q40" s="53" t="str">
        <f t="shared" si="0"/>
        <v>ADULT</v>
      </c>
      <c r="R40" s="10">
        <v>60000</v>
      </c>
    </row>
    <row r="41" spans="1:18" x14ac:dyDescent="0.4">
      <c r="A41" s="11" t="s">
        <v>602</v>
      </c>
      <c r="B41" s="11" t="s">
        <v>603</v>
      </c>
      <c r="C41" s="11" t="s">
        <v>154</v>
      </c>
      <c r="D41" s="10">
        <v>32</v>
      </c>
      <c r="E41" s="11" t="s">
        <v>141</v>
      </c>
      <c r="F41" s="11" t="s">
        <v>510</v>
      </c>
      <c r="G41" s="11" t="s">
        <v>604</v>
      </c>
      <c r="H41" s="10">
        <v>650</v>
      </c>
      <c r="I41" s="10">
        <v>6</v>
      </c>
      <c r="J41" s="12">
        <v>46120</v>
      </c>
      <c r="K41" s="11" t="s">
        <v>489</v>
      </c>
      <c r="L41" s="10">
        <v>155000</v>
      </c>
      <c r="M41" s="10">
        <v>3</v>
      </c>
      <c r="N41" s="10">
        <v>10.199999999999999</v>
      </c>
      <c r="O41" s="11" t="s">
        <v>490</v>
      </c>
      <c r="Q41" s="53" t="str">
        <f t="shared" si="0"/>
        <v>ADULT</v>
      </c>
      <c r="R41" s="10">
        <v>325000</v>
      </c>
    </row>
    <row r="42" spans="1:18" x14ac:dyDescent="0.4">
      <c r="A42" s="11" t="s">
        <v>605</v>
      </c>
      <c r="B42" s="11" t="s">
        <v>606</v>
      </c>
      <c r="C42" s="11" t="s">
        <v>139</v>
      </c>
      <c r="D42" s="10">
        <v>29</v>
      </c>
      <c r="E42" s="11" t="s">
        <v>141</v>
      </c>
      <c r="F42" s="11" t="s">
        <v>89</v>
      </c>
      <c r="G42" s="11" t="s">
        <v>607</v>
      </c>
      <c r="H42" s="10">
        <v>2200</v>
      </c>
      <c r="I42" s="10">
        <v>2</v>
      </c>
      <c r="J42" s="12">
        <v>46122</v>
      </c>
      <c r="K42" s="11" t="s">
        <v>494</v>
      </c>
      <c r="L42" s="10">
        <v>100000</v>
      </c>
      <c r="M42" s="10">
        <v>2</v>
      </c>
      <c r="N42" s="10">
        <v>11.6</v>
      </c>
      <c r="O42" s="11" t="s">
        <v>490</v>
      </c>
      <c r="Q42" s="53" t="str">
        <f t="shared" si="0"/>
        <v>ADULT</v>
      </c>
      <c r="R42" s="10">
        <v>155000</v>
      </c>
    </row>
    <row r="43" spans="1:18" x14ac:dyDescent="0.4">
      <c r="A43" s="11" t="s">
        <v>608</v>
      </c>
      <c r="B43" s="11" t="s">
        <v>609</v>
      </c>
      <c r="C43" s="11" t="s">
        <v>168</v>
      </c>
      <c r="D43" s="10">
        <v>45</v>
      </c>
      <c r="E43" s="11" t="s">
        <v>136</v>
      </c>
      <c r="F43" s="11" t="s">
        <v>96</v>
      </c>
      <c r="G43" s="11" t="s">
        <v>95</v>
      </c>
      <c r="H43" s="10">
        <v>7500</v>
      </c>
      <c r="I43" s="10">
        <v>2</v>
      </c>
      <c r="J43" s="12">
        <v>46124</v>
      </c>
      <c r="K43" s="11" t="s">
        <v>497</v>
      </c>
      <c r="L43" s="10">
        <v>420000</v>
      </c>
      <c r="M43" s="10">
        <v>6</v>
      </c>
      <c r="N43" s="10">
        <v>9</v>
      </c>
      <c r="O43" s="11" t="s">
        <v>490</v>
      </c>
      <c r="Q43" s="53" t="str">
        <f t="shared" si="0"/>
        <v>ADULT</v>
      </c>
      <c r="R43" s="10">
        <v>100000</v>
      </c>
    </row>
    <row r="44" spans="1:18" x14ac:dyDescent="0.4">
      <c r="A44" s="11" t="s">
        <v>610</v>
      </c>
      <c r="B44" s="11" t="s">
        <v>611</v>
      </c>
      <c r="C44" s="11" t="s">
        <v>224</v>
      </c>
      <c r="D44" s="10">
        <v>34</v>
      </c>
      <c r="E44" s="11" t="s">
        <v>141</v>
      </c>
      <c r="F44" s="11" t="s">
        <v>492</v>
      </c>
      <c r="G44" s="11" t="s">
        <v>612</v>
      </c>
      <c r="H44" s="10">
        <v>1800</v>
      </c>
      <c r="I44" s="10">
        <v>3</v>
      </c>
      <c r="J44" s="12">
        <v>46127</v>
      </c>
      <c r="K44" s="11" t="s">
        <v>489</v>
      </c>
      <c r="L44" s="10">
        <v>140000</v>
      </c>
      <c r="M44" s="10">
        <v>3</v>
      </c>
      <c r="N44" s="10">
        <v>10.5</v>
      </c>
      <c r="O44" s="11" t="s">
        <v>490</v>
      </c>
      <c r="Q44" s="53" t="str">
        <f t="shared" si="0"/>
        <v>SENIOUR</v>
      </c>
      <c r="R44" s="10">
        <v>420000</v>
      </c>
    </row>
    <row r="45" spans="1:18" x14ac:dyDescent="0.4">
      <c r="A45" s="11" t="s">
        <v>613</v>
      </c>
      <c r="B45" s="11" t="s">
        <v>614</v>
      </c>
      <c r="C45" s="11" t="s">
        <v>139</v>
      </c>
      <c r="D45" s="10">
        <v>55</v>
      </c>
      <c r="E45" s="11" t="s">
        <v>136</v>
      </c>
      <c r="F45" s="11" t="s">
        <v>89</v>
      </c>
      <c r="G45" s="11" t="s">
        <v>533</v>
      </c>
      <c r="H45" s="10">
        <v>35000</v>
      </c>
      <c r="I45" s="10">
        <v>1</v>
      </c>
      <c r="J45" s="12">
        <v>46129</v>
      </c>
      <c r="K45" s="11" t="s">
        <v>512</v>
      </c>
      <c r="L45" s="10">
        <v>800000</v>
      </c>
      <c r="M45" s="10">
        <v>10</v>
      </c>
      <c r="N45" s="10">
        <v>8.1999999999999993</v>
      </c>
      <c r="O45" s="11" t="s">
        <v>490</v>
      </c>
      <c r="Q45" s="53" t="str">
        <f t="shared" si="0"/>
        <v>ADULT</v>
      </c>
      <c r="R45" s="10">
        <v>140000</v>
      </c>
    </row>
    <row r="46" spans="1:18" x14ac:dyDescent="0.4">
      <c r="A46" s="11" t="s">
        <v>615</v>
      </c>
      <c r="B46" s="11" t="s">
        <v>616</v>
      </c>
      <c r="C46" s="11" t="s">
        <v>144</v>
      </c>
      <c r="D46" s="10">
        <v>27</v>
      </c>
      <c r="E46" s="11" t="s">
        <v>141</v>
      </c>
      <c r="F46" s="11" t="s">
        <v>520</v>
      </c>
      <c r="G46" s="11" t="s">
        <v>617</v>
      </c>
      <c r="H46" s="10">
        <v>9500</v>
      </c>
      <c r="I46" s="10">
        <v>1</v>
      </c>
      <c r="J46" s="12">
        <v>46131</v>
      </c>
      <c r="K46" s="11" t="s">
        <v>494</v>
      </c>
      <c r="L46" s="10">
        <v>115000</v>
      </c>
      <c r="M46" s="10">
        <v>2</v>
      </c>
      <c r="N46" s="10">
        <v>11.1</v>
      </c>
      <c r="O46" s="11" t="s">
        <v>500</v>
      </c>
      <c r="Q46" s="53" t="str">
        <f t="shared" si="0"/>
        <v>SENIOUR</v>
      </c>
      <c r="R46" s="10">
        <v>800000</v>
      </c>
    </row>
    <row r="47" spans="1:18" x14ac:dyDescent="0.4">
      <c r="A47" s="11" t="s">
        <v>618</v>
      </c>
      <c r="B47" s="11" t="s">
        <v>619</v>
      </c>
      <c r="C47" s="11" t="s">
        <v>172</v>
      </c>
      <c r="D47" s="10">
        <v>39</v>
      </c>
      <c r="E47" s="11" t="s">
        <v>136</v>
      </c>
      <c r="F47" s="11" t="s">
        <v>89</v>
      </c>
      <c r="G47" s="11" t="s">
        <v>620</v>
      </c>
      <c r="H47" s="10">
        <v>5500</v>
      </c>
      <c r="I47" s="10">
        <v>2</v>
      </c>
      <c r="J47" s="12">
        <v>46133</v>
      </c>
      <c r="K47" s="11" t="s">
        <v>489</v>
      </c>
      <c r="L47" s="10">
        <v>275000</v>
      </c>
      <c r="M47" s="10">
        <v>5</v>
      </c>
      <c r="N47" s="10">
        <v>9.6</v>
      </c>
      <c r="O47" s="11" t="s">
        <v>490</v>
      </c>
      <c r="Q47" s="53" t="str">
        <f t="shared" si="0"/>
        <v>ADULT</v>
      </c>
      <c r="R47" s="10">
        <v>115000</v>
      </c>
    </row>
    <row r="48" spans="1:18" x14ac:dyDescent="0.4">
      <c r="A48" s="11" t="s">
        <v>621</v>
      </c>
      <c r="B48" s="11" t="s">
        <v>622</v>
      </c>
      <c r="C48" s="11" t="s">
        <v>139</v>
      </c>
      <c r="D48" s="10">
        <v>42</v>
      </c>
      <c r="E48" s="11" t="s">
        <v>141</v>
      </c>
      <c r="F48" s="11" t="s">
        <v>492</v>
      </c>
      <c r="G48" s="11" t="s">
        <v>623</v>
      </c>
      <c r="H48" s="10">
        <v>2100</v>
      </c>
      <c r="I48" s="10">
        <v>2</v>
      </c>
      <c r="J48" s="12">
        <v>46135</v>
      </c>
      <c r="K48" s="11" t="s">
        <v>497</v>
      </c>
      <c r="L48" s="10">
        <v>180000</v>
      </c>
      <c r="M48" s="10">
        <v>4</v>
      </c>
      <c r="N48" s="10">
        <v>10</v>
      </c>
      <c r="O48" s="11" t="s">
        <v>490</v>
      </c>
      <c r="Q48" s="53" t="str">
        <f t="shared" si="0"/>
        <v>ADULT</v>
      </c>
      <c r="R48" s="10">
        <v>275000</v>
      </c>
    </row>
    <row r="49" spans="1:18" x14ac:dyDescent="0.4">
      <c r="A49" s="11" t="s">
        <v>624</v>
      </c>
      <c r="B49" s="11" t="s">
        <v>625</v>
      </c>
      <c r="C49" s="11" t="s">
        <v>502</v>
      </c>
      <c r="D49" s="10">
        <v>48</v>
      </c>
      <c r="E49" s="11" t="s">
        <v>136</v>
      </c>
      <c r="F49" s="11" t="s">
        <v>96</v>
      </c>
      <c r="G49" s="11" t="s">
        <v>110</v>
      </c>
      <c r="H49" s="10">
        <v>11000</v>
      </c>
      <c r="I49" s="10">
        <v>1</v>
      </c>
      <c r="J49" s="12">
        <v>46137</v>
      </c>
      <c r="K49" s="11" t="s">
        <v>489</v>
      </c>
      <c r="L49" s="10">
        <v>475000</v>
      </c>
      <c r="M49" s="10">
        <v>7</v>
      </c>
      <c r="N49" s="10">
        <v>8.8000000000000007</v>
      </c>
      <c r="O49" s="11" t="s">
        <v>490</v>
      </c>
      <c r="Q49" s="53" t="str">
        <f t="shared" si="0"/>
        <v>SENIOUR</v>
      </c>
      <c r="R49" s="10">
        <v>180000</v>
      </c>
    </row>
    <row r="50" spans="1:18" x14ac:dyDescent="0.4">
      <c r="A50" s="11" t="s">
        <v>626</v>
      </c>
      <c r="B50" s="11" t="s">
        <v>627</v>
      </c>
      <c r="C50" s="11" t="s">
        <v>154</v>
      </c>
      <c r="D50" s="10">
        <v>30</v>
      </c>
      <c r="E50" s="11" t="s">
        <v>141</v>
      </c>
      <c r="F50" s="11" t="s">
        <v>506</v>
      </c>
      <c r="G50" s="11" t="s">
        <v>628</v>
      </c>
      <c r="H50" s="10">
        <v>900</v>
      </c>
      <c r="I50" s="10">
        <v>4</v>
      </c>
      <c r="J50" s="12">
        <v>46139</v>
      </c>
      <c r="K50" s="11" t="s">
        <v>494</v>
      </c>
      <c r="L50" s="10">
        <v>105000</v>
      </c>
      <c r="M50" s="10">
        <v>2</v>
      </c>
      <c r="N50" s="10">
        <v>11.3</v>
      </c>
      <c r="O50" s="11" t="s">
        <v>490</v>
      </c>
      <c r="Q50" s="53" t="str">
        <f t="shared" si="0"/>
        <v>SENIOUR</v>
      </c>
      <c r="R50" s="10">
        <v>475000</v>
      </c>
    </row>
    <row r="51" spans="1:18" x14ac:dyDescent="0.4">
      <c r="A51" s="11" t="s">
        <v>629</v>
      </c>
      <c r="B51" s="11" t="s">
        <v>630</v>
      </c>
      <c r="C51" s="11" t="s">
        <v>139</v>
      </c>
      <c r="D51" s="10">
        <v>37</v>
      </c>
      <c r="E51" s="11" t="s">
        <v>136</v>
      </c>
      <c r="F51" s="11" t="s">
        <v>89</v>
      </c>
      <c r="G51" s="11" t="s">
        <v>88</v>
      </c>
      <c r="H51" s="10">
        <v>62000</v>
      </c>
      <c r="I51" s="10">
        <v>1</v>
      </c>
      <c r="J51" s="12">
        <v>46142</v>
      </c>
      <c r="K51" s="11" t="s">
        <v>489</v>
      </c>
      <c r="L51" s="10">
        <v>350000</v>
      </c>
      <c r="M51" s="10">
        <v>5</v>
      </c>
      <c r="N51" s="10">
        <v>9.3000000000000007</v>
      </c>
      <c r="O51" s="11" t="s">
        <v>490</v>
      </c>
      <c r="Q51" s="53" t="str">
        <f t="shared" si="0"/>
        <v>ADULT</v>
      </c>
      <c r="R51" s="10">
        <v>105000</v>
      </c>
    </row>
    <row r="52" spans="1:18" x14ac:dyDescent="0.4">
      <c r="A52" s="47" t="s">
        <v>127</v>
      </c>
      <c r="B52" t="s">
        <v>709</v>
      </c>
      <c r="R52" s="10">
        <v>350000</v>
      </c>
    </row>
    <row r="53" spans="1:18" x14ac:dyDescent="0.4">
      <c r="A53" t="s">
        <v>710</v>
      </c>
    </row>
    <row r="54" spans="1:18" x14ac:dyDescent="0.4">
      <c r="A54" s="47" t="s">
        <v>711</v>
      </c>
      <c r="B54" s="47" t="s">
        <v>703</v>
      </c>
    </row>
    <row r="55" spans="1:18" x14ac:dyDescent="0.4">
      <c r="A55" s="47" t="s">
        <v>700</v>
      </c>
      <c r="B55" t="s">
        <v>490</v>
      </c>
      <c r="C55" t="s">
        <v>500</v>
      </c>
      <c r="D55" t="s">
        <v>701</v>
      </c>
    </row>
    <row r="56" spans="1:18" x14ac:dyDescent="0.4">
      <c r="A56" s="48" t="s">
        <v>168</v>
      </c>
      <c r="B56">
        <v>3</v>
      </c>
      <c r="D56">
        <v>3</v>
      </c>
    </row>
    <row r="57" spans="1:18" x14ac:dyDescent="0.4">
      <c r="A57" s="48" t="s">
        <v>150</v>
      </c>
      <c r="B57">
        <v>1</v>
      </c>
      <c r="C57">
        <v>1</v>
      </c>
      <c r="D57">
        <v>2</v>
      </c>
    </row>
    <row r="58" spans="1:18" x14ac:dyDescent="0.4">
      <c r="A58" s="48" t="s">
        <v>185</v>
      </c>
      <c r="B58">
        <v>2</v>
      </c>
      <c r="D58">
        <v>2</v>
      </c>
    </row>
    <row r="59" spans="1:18" x14ac:dyDescent="0.4">
      <c r="A59" s="48" t="s">
        <v>176</v>
      </c>
      <c r="B59">
        <v>1</v>
      </c>
      <c r="D59">
        <v>1</v>
      </c>
    </row>
    <row r="60" spans="1:18" x14ac:dyDescent="0.4">
      <c r="A60" s="48" t="s">
        <v>139</v>
      </c>
      <c r="B60">
        <v>12</v>
      </c>
      <c r="C60">
        <v>2</v>
      </c>
      <c r="D60">
        <v>14</v>
      </c>
    </row>
    <row r="61" spans="1:18" x14ac:dyDescent="0.4">
      <c r="A61" s="48" t="s">
        <v>502</v>
      </c>
      <c r="B61">
        <v>4</v>
      </c>
      <c r="D61">
        <v>4</v>
      </c>
    </row>
    <row r="62" spans="1:18" x14ac:dyDescent="0.4">
      <c r="A62" s="48" t="s">
        <v>160</v>
      </c>
      <c r="B62">
        <v>1</v>
      </c>
      <c r="D62">
        <v>1</v>
      </c>
    </row>
    <row r="63" spans="1:18" x14ac:dyDescent="0.4">
      <c r="A63" s="48" t="s">
        <v>172</v>
      </c>
      <c r="B63">
        <v>5</v>
      </c>
      <c r="D63">
        <v>5</v>
      </c>
    </row>
    <row r="64" spans="1:18" x14ac:dyDescent="0.4">
      <c r="A64" s="48" t="s">
        <v>189</v>
      </c>
      <c r="B64">
        <v>1</v>
      </c>
      <c r="D64">
        <v>1</v>
      </c>
    </row>
    <row r="65" spans="1:6" x14ac:dyDescent="0.4">
      <c r="A65" s="48" t="s">
        <v>577</v>
      </c>
      <c r="B65">
        <v>1</v>
      </c>
      <c r="C65">
        <v>1</v>
      </c>
      <c r="D65">
        <v>2</v>
      </c>
    </row>
    <row r="66" spans="1:6" x14ac:dyDescent="0.4">
      <c r="A66" s="48" t="s">
        <v>192</v>
      </c>
      <c r="B66">
        <v>3</v>
      </c>
      <c r="D66">
        <v>3</v>
      </c>
    </row>
    <row r="67" spans="1:6" x14ac:dyDescent="0.4">
      <c r="A67" s="48" t="s">
        <v>144</v>
      </c>
      <c r="B67">
        <v>1</v>
      </c>
      <c r="C67">
        <v>2</v>
      </c>
      <c r="D67">
        <v>3</v>
      </c>
    </row>
    <row r="68" spans="1:6" x14ac:dyDescent="0.4">
      <c r="A68" s="48" t="s">
        <v>224</v>
      </c>
      <c r="B68">
        <v>3</v>
      </c>
      <c r="C68">
        <v>2</v>
      </c>
      <c r="D68">
        <v>5</v>
      </c>
    </row>
    <row r="69" spans="1:6" x14ac:dyDescent="0.4">
      <c r="A69" s="48" t="s">
        <v>154</v>
      </c>
      <c r="B69">
        <v>4</v>
      </c>
      <c r="D69">
        <v>4</v>
      </c>
    </row>
    <row r="70" spans="1:6" x14ac:dyDescent="0.4">
      <c r="A70" s="48" t="s">
        <v>701</v>
      </c>
      <c r="B70">
        <v>42</v>
      </c>
      <c r="C70">
        <v>8</v>
      </c>
      <c r="D70">
        <v>50</v>
      </c>
    </row>
    <row r="72" spans="1:6" x14ac:dyDescent="0.4">
      <c r="A72" t="s">
        <v>712</v>
      </c>
    </row>
    <row r="73" spans="1:6" x14ac:dyDescent="0.4">
      <c r="A73" s="47" t="s">
        <v>132</v>
      </c>
      <c r="B73" t="s">
        <v>709</v>
      </c>
    </row>
    <row r="75" spans="1:6" x14ac:dyDescent="0.4">
      <c r="A75" s="47" t="s">
        <v>713</v>
      </c>
      <c r="B75" s="47" t="s">
        <v>703</v>
      </c>
    </row>
    <row r="76" spans="1:6" x14ac:dyDescent="0.4">
      <c r="A76" s="47" t="s">
        <v>700</v>
      </c>
      <c r="B76" t="s">
        <v>512</v>
      </c>
      <c r="C76" t="s">
        <v>494</v>
      </c>
      <c r="D76" t="s">
        <v>497</v>
      </c>
      <c r="E76" t="s">
        <v>489</v>
      </c>
      <c r="F76" t="s">
        <v>701</v>
      </c>
    </row>
    <row r="77" spans="1:6" x14ac:dyDescent="0.4">
      <c r="A77" s="48" t="s">
        <v>565</v>
      </c>
      <c r="D77">
        <v>450000</v>
      </c>
      <c r="F77">
        <v>450000</v>
      </c>
    </row>
    <row r="78" spans="1:6" x14ac:dyDescent="0.4">
      <c r="A78" s="48" t="s">
        <v>586</v>
      </c>
      <c r="C78">
        <v>210000</v>
      </c>
      <c r="F78">
        <v>210000</v>
      </c>
    </row>
    <row r="79" spans="1:6" x14ac:dyDescent="0.4">
      <c r="A79" s="48" t="s">
        <v>553</v>
      </c>
      <c r="D79">
        <v>500000</v>
      </c>
      <c r="F79">
        <v>500000</v>
      </c>
    </row>
    <row r="80" spans="1:6" x14ac:dyDescent="0.4">
      <c r="A80" s="48" t="s">
        <v>110</v>
      </c>
      <c r="E80">
        <v>475000</v>
      </c>
      <c r="F80">
        <v>475000</v>
      </c>
    </row>
    <row r="81" spans="1:6" x14ac:dyDescent="0.4">
      <c r="A81" s="48" t="s">
        <v>601</v>
      </c>
      <c r="E81">
        <v>325000</v>
      </c>
      <c r="F81">
        <v>325000</v>
      </c>
    </row>
    <row r="82" spans="1:6" x14ac:dyDescent="0.4">
      <c r="A82" s="48" t="s">
        <v>496</v>
      </c>
      <c r="D82">
        <v>500000</v>
      </c>
      <c r="F82">
        <v>500000</v>
      </c>
    </row>
    <row r="83" spans="1:6" x14ac:dyDescent="0.4">
      <c r="A83" s="48" t="s">
        <v>536</v>
      </c>
      <c r="E83">
        <v>175000</v>
      </c>
      <c r="F83">
        <v>175000</v>
      </c>
    </row>
    <row r="84" spans="1:6" x14ac:dyDescent="0.4">
      <c r="A84" s="48" t="s">
        <v>546</v>
      </c>
      <c r="C84">
        <v>90000</v>
      </c>
      <c r="F84">
        <v>90000</v>
      </c>
    </row>
    <row r="85" spans="1:6" x14ac:dyDescent="0.4">
      <c r="A85" s="48" t="s">
        <v>595</v>
      </c>
      <c r="D85">
        <v>700000</v>
      </c>
      <c r="F85">
        <v>700000</v>
      </c>
    </row>
    <row r="86" spans="1:6" x14ac:dyDescent="0.4">
      <c r="A86" s="48" t="s">
        <v>493</v>
      </c>
      <c r="C86">
        <v>150000</v>
      </c>
      <c r="F86">
        <v>150000</v>
      </c>
    </row>
    <row r="87" spans="1:6" x14ac:dyDescent="0.4">
      <c r="A87" s="48" t="s">
        <v>562</v>
      </c>
      <c r="E87">
        <v>190000</v>
      </c>
      <c r="F87">
        <v>190000</v>
      </c>
    </row>
    <row r="88" spans="1:6" x14ac:dyDescent="0.4">
      <c r="A88" s="48" t="s">
        <v>607</v>
      </c>
      <c r="C88">
        <v>100000</v>
      </c>
      <c r="F88">
        <v>100000</v>
      </c>
    </row>
    <row r="89" spans="1:6" x14ac:dyDescent="0.4">
      <c r="A89" s="48" t="s">
        <v>574</v>
      </c>
      <c r="E89">
        <v>145000</v>
      </c>
      <c r="F89">
        <v>145000</v>
      </c>
    </row>
    <row r="90" spans="1:6" x14ac:dyDescent="0.4">
      <c r="A90" s="48" t="s">
        <v>541</v>
      </c>
      <c r="D90">
        <v>225000</v>
      </c>
      <c r="F90">
        <v>225000</v>
      </c>
    </row>
    <row r="91" spans="1:6" x14ac:dyDescent="0.4">
      <c r="A91" s="48" t="s">
        <v>112</v>
      </c>
      <c r="E91">
        <v>100000</v>
      </c>
      <c r="F91">
        <v>100000</v>
      </c>
    </row>
    <row r="92" spans="1:6" x14ac:dyDescent="0.4">
      <c r="A92" s="48" t="s">
        <v>568</v>
      </c>
      <c r="E92">
        <v>110000</v>
      </c>
      <c r="F92">
        <v>110000</v>
      </c>
    </row>
    <row r="93" spans="1:6" x14ac:dyDescent="0.4">
      <c r="A93" s="48" t="s">
        <v>550</v>
      </c>
      <c r="B93">
        <v>130000</v>
      </c>
      <c r="F93">
        <v>130000</v>
      </c>
    </row>
    <row r="94" spans="1:6" x14ac:dyDescent="0.4">
      <c r="A94" s="48" t="s">
        <v>92</v>
      </c>
      <c r="E94">
        <v>240000</v>
      </c>
      <c r="F94">
        <v>240000</v>
      </c>
    </row>
    <row r="95" spans="1:6" x14ac:dyDescent="0.4">
      <c r="A95" s="48" t="s">
        <v>612</v>
      </c>
      <c r="E95">
        <v>140000</v>
      </c>
      <c r="F95">
        <v>140000</v>
      </c>
    </row>
    <row r="96" spans="1:6" x14ac:dyDescent="0.4">
      <c r="A96" s="48" t="s">
        <v>88</v>
      </c>
      <c r="E96">
        <v>650000</v>
      </c>
      <c r="F96">
        <v>650000</v>
      </c>
    </row>
    <row r="97" spans="1:6" x14ac:dyDescent="0.4">
      <c r="A97" s="48" t="s">
        <v>598</v>
      </c>
      <c r="C97">
        <v>60000</v>
      </c>
      <c r="F97">
        <v>60000</v>
      </c>
    </row>
    <row r="98" spans="1:6" x14ac:dyDescent="0.4">
      <c r="A98" s="48" t="s">
        <v>556</v>
      </c>
      <c r="E98">
        <v>70000</v>
      </c>
      <c r="F98">
        <v>70000</v>
      </c>
    </row>
    <row r="99" spans="1:6" x14ac:dyDescent="0.4">
      <c r="A99" s="48" t="s">
        <v>521</v>
      </c>
      <c r="C99">
        <v>120000</v>
      </c>
      <c r="F99">
        <v>120000</v>
      </c>
    </row>
    <row r="100" spans="1:6" x14ac:dyDescent="0.4">
      <c r="A100" s="48" t="s">
        <v>503</v>
      </c>
      <c r="C100">
        <v>250000</v>
      </c>
      <c r="F100">
        <v>250000</v>
      </c>
    </row>
    <row r="101" spans="1:6" x14ac:dyDescent="0.4">
      <c r="A101" s="48" t="s">
        <v>107</v>
      </c>
      <c r="E101">
        <v>275000</v>
      </c>
      <c r="F101">
        <v>275000</v>
      </c>
    </row>
    <row r="102" spans="1:6" x14ac:dyDescent="0.4">
      <c r="A102" s="48" t="s">
        <v>95</v>
      </c>
      <c r="D102">
        <v>420000</v>
      </c>
      <c r="F102">
        <v>420000</v>
      </c>
    </row>
    <row r="103" spans="1:6" x14ac:dyDescent="0.4">
      <c r="A103" s="48" t="s">
        <v>583</v>
      </c>
      <c r="B103">
        <v>375000</v>
      </c>
      <c r="F103">
        <v>375000</v>
      </c>
    </row>
    <row r="104" spans="1:6" x14ac:dyDescent="0.4">
      <c r="A104" s="48" t="s">
        <v>530</v>
      </c>
      <c r="C104">
        <v>80000</v>
      </c>
      <c r="F104">
        <v>80000</v>
      </c>
    </row>
    <row r="105" spans="1:6" x14ac:dyDescent="0.4">
      <c r="A105" s="48" t="s">
        <v>104</v>
      </c>
      <c r="D105">
        <v>260000</v>
      </c>
      <c r="F105">
        <v>260000</v>
      </c>
    </row>
    <row r="106" spans="1:6" x14ac:dyDescent="0.4">
      <c r="A106" s="48" t="s">
        <v>533</v>
      </c>
      <c r="B106">
        <v>800000</v>
      </c>
      <c r="E106">
        <v>300000</v>
      </c>
      <c r="F106">
        <v>1100000</v>
      </c>
    </row>
    <row r="107" spans="1:6" x14ac:dyDescent="0.4">
      <c r="A107" s="48" t="s">
        <v>511</v>
      </c>
      <c r="B107">
        <v>400000</v>
      </c>
      <c r="F107">
        <v>400000</v>
      </c>
    </row>
    <row r="108" spans="1:6" x14ac:dyDescent="0.4">
      <c r="A108" s="48" t="s">
        <v>623</v>
      </c>
      <c r="D108">
        <v>180000</v>
      </c>
      <c r="F108">
        <v>180000</v>
      </c>
    </row>
    <row r="109" spans="1:6" x14ac:dyDescent="0.4">
      <c r="A109" s="48" t="s">
        <v>514</v>
      </c>
      <c r="E109">
        <v>200000</v>
      </c>
      <c r="F109">
        <v>200000</v>
      </c>
    </row>
    <row r="110" spans="1:6" x14ac:dyDescent="0.4">
      <c r="A110" s="48" t="s">
        <v>628</v>
      </c>
      <c r="C110">
        <v>105000</v>
      </c>
      <c r="F110">
        <v>105000</v>
      </c>
    </row>
    <row r="111" spans="1:6" x14ac:dyDescent="0.4">
      <c r="A111" s="48" t="s">
        <v>525</v>
      </c>
      <c r="E111">
        <v>160000</v>
      </c>
      <c r="F111">
        <v>160000</v>
      </c>
    </row>
    <row r="112" spans="1:6" x14ac:dyDescent="0.4">
      <c r="A112" s="48" t="s">
        <v>507</v>
      </c>
      <c r="E112">
        <v>180000</v>
      </c>
      <c r="F112">
        <v>180000</v>
      </c>
    </row>
    <row r="113" spans="1:6" x14ac:dyDescent="0.4">
      <c r="A113" s="48" t="s">
        <v>559</v>
      </c>
      <c r="C113">
        <v>280000</v>
      </c>
      <c r="F113">
        <v>280000</v>
      </c>
    </row>
    <row r="114" spans="1:6" x14ac:dyDescent="0.4">
      <c r="A114" s="48" t="s">
        <v>539</v>
      </c>
      <c r="C114">
        <v>550000</v>
      </c>
      <c r="F114">
        <v>550000</v>
      </c>
    </row>
    <row r="115" spans="1:6" x14ac:dyDescent="0.4">
      <c r="A115" s="48" t="s">
        <v>620</v>
      </c>
      <c r="E115">
        <v>275000</v>
      </c>
      <c r="F115">
        <v>275000</v>
      </c>
    </row>
    <row r="116" spans="1:6" x14ac:dyDescent="0.4">
      <c r="A116" s="48" t="s">
        <v>528</v>
      </c>
      <c r="D116">
        <v>450000</v>
      </c>
      <c r="F116">
        <v>450000</v>
      </c>
    </row>
    <row r="117" spans="1:6" x14ac:dyDescent="0.4">
      <c r="A117" s="48" t="s">
        <v>517</v>
      </c>
      <c r="D117">
        <v>350000</v>
      </c>
      <c r="F117">
        <v>350000</v>
      </c>
    </row>
    <row r="118" spans="1:6" x14ac:dyDescent="0.4">
      <c r="A118" s="48" t="s">
        <v>604</v>
      </c>
      <c r="E118">
        <v>155000</v>
      </c>
      <c r="F118">
        <v>155000</v>
      </c>
    </row>
    <row r="119" spans="1:6" x14ac:dyDescent="0.4">
      <c r="A119" s="48" t="s">
        <v>580</v>
      </c>
      <c r="E119">
        <v>95000</v>
      </c>
      <c r="F119">
        <v>95000</v>
      </c>
    </row>
    <row r="120" spans="1:6" x14ac:dyDescent="0.4">
      <c r="A120" s="48" t="s">
        <v>543</v>
      </c>
      <c r="E120">
        <v>600000</v>
      </c>
      <c r="F120">
        <v>600000</v>
      </c>
    </row>
    <row r="121" spans="1:6" x14ac:dyDescent="0.4">
      <c r="A121" s="48" t="s">
        <v>617</v>
      </c>
      <c r="C121">
        <v>115000</v>
      </c>
      <c r="F121">
        <v>115000</v>
      </c>
    </row>
    <row r="122" spans="1:6" x14ac:dyDescent="0.4">
      <c r="A122" s="48" t="s">
        <v>571</v>
      </c>
      <c r="C122">
        <v>525000</v>
      </c>
      <c r="F122">
        <v>525000</v>
      </c>
    </row>
    <row r="123" spans="1:6" x14ac:dyDescent="0.4">
      <c r="A123" s="48" t="s">
        <v>589</v>
      </c>
      <c r="E123">
        <v>650000</v>
      </c>
      <c r="F123">
        <v>650000</v>
      </c>
    </row>
    <row r="124" spans="1:6" x14ac:dyDescent="0.4">
      <c r="A124" s="48" t="s">
        <v>592</v>
      </c>
      <c r="E124">
        <v>125000</v>
      </c>
      <c r="F124">
        <v>125000</v>
      </c>
    </row>
    <row r="125" spans="1:6" x14ac:dyDescent="0.4">
      <c r="A125" s="48" t="s">
        <v>701</v>
      </c>
      <c r="B125">
        <v>1705000</v>
      </c>
      <c r="C125">
        <v>2635000</v>
      </c>
      <c r="D125">
        <v>4035000</v>
      </c>
      <c r="E125">
        <v>5635000</v>
      </c>
      <c r="F125">
        <v>14010000</v>
      </c>
    </row>
    <row r="131" spans="1:4" x14ac:dyDescent="0.4">
      <c r="B131" s="47" t="s">
        <v>703</v>
      </c>
    </row>
    <row r="132" spans="1:4" x14ac:dyDescent="0.4">
      <c r="B132" t="s">
        <v>141</v>
      </c>
      <c r="C132" t="s">
        <v>136</v>
      </c>
      <c r="D132" t="s">
        <v>701</v>
      </c>
    </row>
    <row r="133" spans="1:4" x14ac:dyDescent="0.4">
      <c r="A133" t="s">
        <v>721</v>
      </c>
      <c r="B133">
        <v>25</v>
      </c>
      <c r="C133">
        <v>25</v>
      </c>
      <c r="D133">
        <v>50</v>
      </c>
    </row>
    <row r="145" spans="1:2" x14ac:dyDescent="0.4">
      <c r="A145" s="47" t="s">
        <v>700</v>
      </c>
      <c r="B145" t="s">
        <v>713</v>
      </c>
    </row>
    <row r="146" spans="1:2" x14ac:dyDescent="0.4">
      <c r="A146" s="48" t="s">
        <v>168</v>
      </c>
      <c r="B146">
        <v>915000</v>
      </c>
    </row>
    <row r="147" spans="1:2" x14ac:dyDescent="0.4">
      <c r="A147" s="48" t="s">
        <v>150</v>
      </c>
      <c r="B147">
        <v>645000</v>
      </c>
    </row>
    <row r="148" spans="1:2" x14ac:dyDescent="0.4">
      <c r="A148" s="48" t="s">
        <v>185</v>
      </c>
      <c r="B148">
        <v>535000</v>
      </c>
    </row>
    <row r="149" spans="1:2" x14ac:dyDescent="0.4">
      <c r="A149" s="48" t="s">
        <v>176</v>
      </c>
      <c r="B149">
        <v>175000</v>
      </c>
    </row>
    <row r="150" spans="1:2" x14ac:dyDescent="0.4">
      <c r="A150" s="48" t="s">
        <v>139</v>
      </c>
      <c r="B150">
        <v>4740000</v>
      </c>
    </row>
    <row r="151" spans="1:2" x14ac:dyDescent="0.4">
      <c r="A151" s="48" t="s">
        <v>502</v>
      </c>
      <c r="B151">
        <v>1665000</v>
      </c>
    </row>
    <row r="152" spans="1:2" x14ac:dyDescent="0.4">
      <c r="A152" s="48" t="s">
        <v>160</v>
      </c>
      <c r="B152">
        <v>130000</v>
      </c>
    </row>
    <row r="153" spans="1:2" x14ac:dyDescent="0.4">
      <c r="A153" s="48" t="s">
        <v>172</v>
      </c>
      <c r="B153">
        <v>1530000</v>
      </c>
    </row>
    <row r="154" spans="1:2" x14ac:dyDescent="0.4">
      <c r="A154" s="48" t="s">
        <v>189</v>
      </c>
      <c r="B154">
        <v>190000</v>
      </c>
    </row>
    <row r="155" spans="1:2" x14ac:dyDescent="0.4">
      <c r="A155" s="48" t="s">
        <v>577</v>
      </c>
      <c r="B155">
        <v>320000</v>
      </c>
    </row>
    <row r="156" spans="1:2" x14ac:dyDescent="0.4">
      <c r="A156" s="48" t="s">
        <v>192</v>
      </c>
      <c r="B156">
        <v>1075000</v>
      </c>
    </row>
    <row r="157" spans="1:2" x14ac:dyDescent="0.4">
      <c r="A157" s="48" t="s">
        <v>144</v>
      </c>
      <c r="B157">
        <v>355000</v>
      </c>
    </row>
    <row r="158" spans="1:2" x14ac:dyDescent="0.4">
      <c r="A158" s="48" t="s">
        <v>224</v>
      </c>
      <c r="B158">
        <v>1070000</v>
      </c>
    </row>
    <row r="159" spans="1:2" x14ac:dyDescent="0.4">
      <c r="A159" s="48" t="s">
        <v>154</v>
      </c>
      <c r="B159">
        <v>665000</v>
      </c>
    </row>
    <row r="160" spans="1:2" x14ac:dyDescent="0.4">
      <c r="A160" s="48" t="s">
        <v>701</v>
      </c>
      <c r="B160">
        <v>14010000</v>
      </c>
    </row>
    <row r="181" spans="1:2" x14ac:dyDescent="0.4">
      <c r="A181" s="47" t="s">
        <v>700</v>
      </c>
      <c r="B181" t="s">
        <v>722</v>
      </c>
    </row>
    <row r="182" spans="1:2" x14ac:dyDescent="0.4">
      <c r="A182" s="48" t="s">
        <v>154</v>
      </c>
      <c r="B182">
        <v>15</v>
      </c>
    </row>
    <row r="183" spans="1:2" x14ac:dyDescent="0.4">
      <c r="A183" s="48" t="s">
        <v>224</v>
      </c>
      <c r="B183">
        <v>8</v>
      </c>
    </row>
    <row r="184" spans="1:2" x14ac:dyDescent="0.4">
      <c r="A184" s="48" t="s">
        <v>172</v>
      </c>
      <c r="B184">
        <v>10</v>
      </c>
    </row>
    <row r="185" spans="1:2" x14ac:dyDescent="0.4">
      <c r="A185" s="48" t="s">
        <v>139</v>
      </c>
      <c r="B185">
        <v>25</v>
      </c>
    </row>
    <row r="186" spans="1:2" x14ac:dyDescent="0.4">
      <c r="A186" s="48" t="s">
        <v>185</v>
      </c>
      <c r="B186">
        <v>7</v>
      </c>
    </row>
    <row r="187" spans="1:2" x14ac:dyDescent="0.4">
      <c r="A187" s="48" t="s">
        <v>168</v>
      </c>
      <c r="B187">
        <v>7</v>
      </c>
    </row>
    <row r="188" spans="1:2" x14ac:dyDescent="0.4">
      <c r="A188" s="48" t="s">
        <v>701</v>
      </c>
      <c r="B188">
        <v>72</v>
      </c>
    </row>
    <row r="196" spans="1:2" x14ac:dyDescent="0.4">
      <c r="A196" t="s">
        <v>724</v>
      </c>
    </row>
    <row r="200" spans="1:2" x14ac:dyDescent="0.4">
      <c r="A200" s="47" t="s">
        <v>700</v>
      </c>
      <c r="B200" t="s">
        <v>723</v>
      </c>
    </row>
    <row r="201" spans="1:2" x14ac:dyDescent="0.4">
      <c r="A201" s="48" t="s">
        <v>565</v>
      </c>
      <c r="B201">
        <v>42000</v>
      </c>
    </row>
    <row r="202" spans="1:2" x14ac:dyDescent="0.4">
      <c r="A202" s="48" t="s">
        <v>88</v>
      </c>
      <c r="B202">
        <v>117000</v>
      </c>
    </row>
    <row r="203" spans="1:2" x14ac:dyDescent="0.4">
      <c r="A203" s="48" t="s">
        <v>533</v>
      </c>
      <c r="B203">
        <v>67000</v>
      </c>
    </row>
    <row r="204" spans="1:2" x14ac:dyDescent="0.4">
      <c r="A204" s="48" t="s">
        <v>543</v>
      </c>
      <c r="B204">
        <v>45000</v>
      </c>
    </row>
    <row r="205" spans="1:2" x14ac:dyDescent="0.4">
      <c r="A205" s="48" t="s">
        <v>701</v>
      </c>
      <c r="B205">
        <v>271000</v>
      </c>
    </row>
    <row r="217" spans="1:2" x14ac:dyDescent="0.4">
      <c r="A217" t="s">
        <v>734</v>
      </c>
    </row>
    <row r="218" spans="1:2" x14ac:dyDescent="0.4">
      <c r="A218" t="s">
        <v>735</v>
      </c>
    </row>
    <row r="222" spans="1:2" x14ac:dyDescent="0.4">
      <c r="A222" s="47" t="s">
        <v>700</v>
      </c>
      <c r="B222" t="s">
        <v>713</v>
      </c>
    </row>
    <row r="223" spans="1:2" x14ac:dyDescent="0.4">
      <c r="A223" s="48" t="s">
        <v>512</v>
      </c>
      <c r="B223">
        <v>1705000</v>
      </c>
    </row>
    <row r="224" spans="1:2" x14ac:dyDescent="0.4">
      <c r="A224" s="48" t="s">
        <v>494</v>
      </c>
      <c r="B224">
        <v>2635000</v>
      </c>
    </row>
    <row r="225" spans="1:2" x14ac:dyDescent="0.4">
      <c r="A225" s="48" t="s">
        <v>497</v>
      </c>
      <c r="B225">
        <v>4035000</v>
      </c>
    </row>
    <row r="226" spans="1:2" x14ac:dyDescent="0.4">
      <c r="A226" s="48" t="s">
        <v>489</v>
      </c>
      <c r="B226">
        <v>5635000</v>
      </c>
    </row>
    <row r="227" spans="1:2" x14ac:dyDescent="0.4">
      <c r="A227" s="48" t="s">
        <v>701</v>
      </c>
      <c r="B227">
        <v>14010000</v>
      </c>
    </row>
    <row r="234" spans="1:2" x14ac:dyDescent="0.4">
      <c r="A234" s="47" t="s">
        <v>700</v>
      </c>
      <c r="B234" t="s">
        <v>723</v>
      </c>
    </row>
    <row r="235" spans="1:2" x14ac:dyDescent="0.4">
      <c r="A235" s="48" t="s">
        <v>565</v>
      </c>
      <c r="B235">
        <v>42000</v>
      </c>
    </row>
    <row r="236" spans="1:2" x14ac:dyDescent="0.4">
      <c r="A236" s="48" t="s">
        <v>586</v>
      </c>
      <c r="B236">
        <v>8500</v>
      </c>
    </row>
    <row r="237" spans="1:2" x14ac:dyDescent="0.4">
      <c r="A237" s="48" t="s">
        <v>553</v>
      </c>
      <c r="B237">
        <v>35000</v>
      </c>
    </row>
    <row r="238" spans="1:2" x14ac:dyDescent="0.4">
      <c r="A238" s="48" t="s">
        <v>110</v>
      </c>
      <c r="B238">
        <v>11000</v>
      </c>
    </row>
    <row r="239" spans="1:2" x14ac:dyDescent="0.4">
      <c r="A239" s="48" t="s">
        <v>601</v>
      </c>
      <c r="B239">
        <v>38000</v>
      </c>
    </row>
    <row r="240" spans="1:2" x14ac:dyDescent="0.4">
      <c r="A240" s="48" t="s">
        <v>496</v>
      </c>
      <c r="B240">
        <v>4500</v>
      </c>
    </row>
    <row r="241" spans="1:2" x14ac:dyDescent="0.4">
      <c r="A241" s="48" t="s">
        <v>536</v>
      </c>
      <c r="B241">
        <v>850</v>
      </c>
    </row>
    <row r="242" spans="1:2" x14ac:dyDescent="0.4">
      <c r="A242" s="48" t="s">
        <v>546</v>
      </c>
      <c r="B242">
        <v>3800</v>
      </c>
    </row>
    <row r="243" spans="1:2" x14ac:dyDescent="0.4">
      <c r="A243" s="48" t="s">
        <v>595</v>
      </c>
      <c r="B243">
        <v>32000</v>
      </c>
    </row>
    <row r="244" spans="1:2" x14ac:dyDescent="0.4">
      <c r="A244" s="48" t="s">
        <v>493</v>
      </c>
      <c r="B244">
        <v>2500</v>
      </c>
    </row>
    <row r="245" spans="1:2" x14ac:dyDescent="0.4">
      <c r="A245" s="48" t="s">
        <v>562</v>
      </c>
      <c r="B245">
        <v>1800</v>
      </c>
    </row>
    <row r="246" spans="1:2" x14ac:dyDescent="0.4">
      <c r="A246" s="48" t="s">
        <v>607</v>
      </c>
      <c r="B246">
        <v>2200</v>
      </c>
    </row>
    <row r="247" spans="1:2" x14ac:dyDescent="0.4">
      <c r="A247" s="48" t="s">
        <v>574</v>
      </c>
      <c r="B247">
        <v>950</v>
      </c>
    </row>
    <row r="248" spans="1:2" x14ac:dyDescent="0.4">
      <c r="A248" s="48" t="s">
        <v>541</v>
      </c>
      <c r="B248">
        <v>4200</v>
      </c>
    </row>
    <row r="249" spans="1:2" x14ac:dyDescent="0.4">
      <c r="A249" s="48" t="s">
        <v>112</v>
      </c>
      <c r="B249">
        <v>1800</v>
      </c>
    </row>
    <row r="250" spans="1:2" x14ac:dyDescent="0.4">
      <c r="A250" s="48" t="s">
        <v>568</v>
      </c>
      <c r="B250">
        <v>3200</v>
      </c>
    </row>
    <row r="251" spans="1:2" x14ac:dyDescent="0.4">
      <c r="A251" s="48" t="s">
        <v>550</v>
      </c>
      <c r="B251">
        <v>2200</v>
      </c>
    </row>
    <row r="252" spans="1:2" x14ac:dyDescent="0.4">
      <c r="A252" s="48" t="s">
        <v>92</v>
      </c>
      <c r="B252">
        <v>2500</v>
      </c>
    </row>
    <row r="253" spans="1:2" x14ac:dyDescent="0.4">
      <c r="A253" s="48" t="s">
        <v>612</v>
      </c>
      <c r="B253">
        <v>1800</v>
      </c>
    </row>
    <row r="254" spans="1:2" x14ac:dyDescent="0.4">
      <c r="A254" s="48" t="s">
        <v>88</v>
      </c>
      <c r="B254">
        <v>117000</v>
      </c>
    </row>
    <row r="255" spans="1:2" x14ac:dyDescent="0.4">
      <c r="A255" s="48" t="s">
        <v>598</v>
      </c>
      <c r="B255">
        <v>750</v>
      </c>
    </row>
    <row r="256" spans="1:2" x14ac:dyDescent="0.4">
      <c r="A256" s="48" t="s">
        <v>556</v>
      </c>
      <c r="B256">
        <v>2900</v>
      </c>
    </row>
    <row r="257" spans="1:2" x14ac:dyDescent="0.4">
      <c r="A257" s="48" t="s">
        <v>521</v>
      </c>
      <c r="B257">
        <v>4500</v>
      </c>
    </row>
    <row r="258" spans="1:2" x14ac:dyDescent="0.4">
      <c r="A258" s="48" t="s">
        <v>503</v>
      </c>
      <c r="B258">
        <v>22000</v>
      </c>
    </row>
    <row r="259" spans="1:2" x14ac:dyDescent="0.4">
      <c r="A259" s="48" t="s">
        <v>107</v>
      </c>
      <c r="B259">
        <v>15000</v>
      </c>
    </row>
    <row r="260" spans="1:2" x14ac:dyDescent="0.4">
      <c r="A260" s="48" t="s">
        <v>95</v>
      </c>
      <c r="B260">
        <v>7500</v>
      </c>
    </row>
    <row r="261" spans="1:2" x14ac:dyDescent="0.4">
      <c r="A261" s="48" t="s">
        <v>583</v>
      </c>
      <c r="B261">
        <v>1600</v>
      </c>
    </row>
    <row r="262" spans="1:2" x14ac:dyDescent="0.4">
      <c r="A262" s="48" t="s">
        <v>530</v>
      </c>
      <c r="B262">
        <v>2200</v>
      </c>
    </row>
    <row r="263" spans="1:2" x14ac:dyDescent="0.4">
      <c r="A263" s="48" t="s">
        <v>104</v>
      </c>
      <c r="B263">
        <v>12500</v>
      </c>
    </row>
    <row r="264" spans="1:2" x14ac:dyDescent="0.4">
      <c r="A264" s="48" t="s">
        <v>533</v>
      </c>
      <c r="B264">
        <v>67000</v>
      </c>
    </row>
    <row r="265" spans="1:2" x14ac:dyDescent="0.4">
      <c r="A265" s="48" t="s">
        <v>511</v>
      </c>
      <c r="B265">
        <v>1200</v>
      </c>
    </row>
    <row r="266" spans="1:2" x14ac:dyDescent="0.4">
      <c r="A266" s="48" t="s">
        <v>623</v>
      </c>
      <c r="B266">
        <v>2100</v>
      </c>
    </row>
    <row r="267" spans="1:2" x14ac:dyDescent="0.4">
      <c r="A267" s="48" t="s">
        <v>514</v>
      </c>
      <c r="B267">
        <v>3500</v>
      </c>
    </row>
    <row r="268" spans="1:2" x14ac:dyDescent="0.4">
      <c r="A268" s="48" t="s">
        <v>628</v>
      </c>
      <c r="B268">
        <v>900</v>
      </c>
    </row>
    <row r="269" spans="1:2" x14ac:dyDescent="0.4">
      <c r="A269" s="48" t="s">
        <v>525</v>
      </c>
      <c r="B269">
        <v>2800</v>
      </c>
    </row>
    <row r="270" spans="1:2" x14ac:dyDescent="0.4">
      <c r="A270" s="48" t="s">
        <v>507</v>
      </c>
      <c r="B270">
        <v>3200</v>
      </c>
    </row>
    <row r="271" spans="1:2" x14ac:dyDescent="0.4">
      <c r="A271" s="48" t="s">
        <v>559</v>
      </c>
      <c r="B271">
        <v>6500</v>
      </c>
    </row>
    <row r="272" spans="1:2" x14ac:dyDescent="0.4">
      <c r="A272" s="48" t="s">
        <v>539</v>
      </c>
      <c r="B272">
        <v>28000</v>
      </c>
    </row>
    <row r="273" spans="1:2" x14ac:dyDescent="0.4">
      <c r="A273" s="48" t="s">
        <v>620</v>
      </c>
      <c r="B273">
        <v>5500</v>
      </c>
    </row>
    <row r="274" spans="1:2" x14ac:dyDescent="0.4">
      <c r="A274" s="48" t="s">
        <v>528</v>
      </c>
      <c r="B274">
        <v>12000</v>
      </c>
    </row>
    <row r="275" spans="1:2" x14ac:dyDescent="0.4">
      <c r="A275" s="48" t="s">
        <v>517</v>
      </c>
      <c r="B275">
        <v>18000</v>
      </c>
    </row>
    <row r="276" spans="1:2" x14ac:dyDescent="0.4">
      <c r="A276" s="48" t="s">
        <v>604</v>
      </c>
      <c r="B276">
        <v>650</v>
      </c>
    </row>
    <row r="277" spans="1:2" x14ac:dyDescent="0.4">
      <c r="A277" s="48" t="s">
        <v>580</v>
      </c>
      <c r="B277">
        <v>1200</v>
      </c>
    </row>
    <row r="278" spans="1:2" x14ac:dyDescent="0.4">
      <c r="A278" s="48" t="s">
        <v>543</v>
      </c>
      <c r="B278">
        <v>45000</v>
      </c>
    </row>
    <row r="279" spans="1:2" x14ac:dyDescent="0.4">
      <c r="A279" s="48" t="s">
        <v>617</v>
      </c>
      <c r="B279">
        <v>9500</v>
      </c>
    </row>
    <row r="280" spans="1:2" x14ac:dyDescent="0.4">
      <c r="A280" s="48" t="s">
        <v>571</v>
      </c>
      <c r="B280">
        <v>25000</v>
      </c>
    </row>
    <row r="281" spans="1:2" x14ac:dyDescent="0.4">
      <c r="A281" s="48" t="s">
        <v>589</v>
      </c>
      <c r="B281">
        <v>30000</v>
      </c>
    </row>
    <row r="282" spans="1:2" x14ac:dyDescent="0.4">
      <c r="A282" s="48" t="s">
        <v>592</v>
      </c>
      <c r="B282">
        <v>4500</v>
      </c>
    </row>
    <row r="283" spans="1:2" x14ac:dyDescent="0.4">
      <c r="A283" s="48" t="s">
        <v>701</v>
      </c>
      <c r="B283">
        <v>651300</v>
      </c>
    </row>
  </sheetData>
  <pageMargins left="0.7" right="0.7" top="0.75" bottom="0.75" header="0.3" footer="0.3"/>
  <drawing r:id="rId1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7D21E-1DE8-4070-94C5-2B94157771B3}">
  <dimension ref="A1:AG1000"/>
  <sheetViews>
    <sheetView topLeftCell="M1" zoomScaleNormal="100" workbookViewId="0">
      <selection activeCell="S19" sqref="S19"/>
    </sheetView>
  </sheetViews>
  <sheetFormatPr defaultRowHeight="14.6" x14ac:dyDescent="0.4"/>
  <cols>
    <col min="1" max="1" width="6.3046875" bestFit="1" customWidth="1"/>
    <col min="2" max="2" width="4.84375" bestFit="1" customWidth="1"/>
    <col min="3" max="3" width="9" bestFit="1" customWidth="1"/>
    <col min="4" max="4" width="10.765625" bestFit="1" customWidth="1"/>
    <col min="5" max="5" width="10.61328125" bestFit="1" customWidth="1"/>
    <col min="6" max="6" width="7" bestFit="1" customWidth="1"/>
    <col min="7" max="7" width="8.15234375" bestFit="1" customWidth="1"/>
    <col min="8" max="8" width="6.84375" bestFit="1" customWidth="1"/>
    <col min="9" max="9" width="5.84375" bestFit="1" customWidth="1"/>
    <col min="12" max="12" width="12.4609375" bestFit="1" customWidth="1"/>
    <col min="13" max="14" width="11.53515625" bestFit="1" customWidth="1"/>
    <col min="18" max="18" width="12.4609375" bestFit="1" customWidth="1"/>
    <col min="19" max="20" width="11.53515625" bestFit="1" customWidth="1"/>
    <col min="21" max="21" width="10.4609375" bestFit="1" customWidth="1"/>
    <col min="22" max="22" width="7.84375" bestFit="1" customWidth="1"/>
    <col min="23" max="23" width="10.4609375" bestFit="1" customWidth="1"/>
    <col min="31" max="31" width="11.53515625" bestFit="1" customWidth="1"/>
    <col min="33" max="34" width="11.53515625" bestFit="1" customWidth="1"/>
  </cols>
  <sheetData>
    <row r="1" spans="1:33" ht="23.6" x14ac:dyDescent="0.65">
      <c r="A1" s="9" t="s">
        <v>740</v>
      </c>
      <c r="B1" s="54" t="s">
        <v>741</v>
      </c>
      <c r="C1" s="9" t="s">
        <v>742</v>
      </c>
      <c r="D1" s="9" t="s">
        <v>479</v>
      </c>
      <c r="E1" s="9" t="s">
        <v>84</v>
      </c>
      <c r="F1" s="9" t="s">
        <v>687</v>
      </c>
      <c r="G1" s="8" t="s">
        <v>481</v>
      </c>
      <c r="H1" s="8" t="s">
        <v>152</v>
      </c>
      <c r="I1" s="8" t="s">
        <v>743</v>
      </c>
      <c r="L1" s="47" t="s">
        <v>700</v>
      </c>
      <c r="M1" t="s">
        <v>702</v>
      </c>
      <c r="N1" t="s">
        <v>755</v>
      </c>
      <c r="R1" s="50" t="s">
        <v>761</v>
      </c>
      <c r="AE1" s="56" t="s">
        <v>762</v>
      </c>
    </row>
    <row r="2" spans="1:33" x14ac:dyDescent="0.4">
      <c r="A2" s="11" t="s">
        <v>707</v>
      </c>
      <c r="B2" s="55">
        <v>2018</v>
      </c>
      <c r="C2" s="11" t="s">
        <v>218</v>
      </c>
      <c r="D2" s="11" t="s">
        <v>88</v>
      </c>
      <c r="E2" s="11" t="s">
        <v>89</v>
      </c>
      <c r="F2" s="11" t="s">
        <v>689</v>
      </c>
      <c r="G2" s="10">
        <v>5</v>
      </c>
      <c r="H2" s="10">
        <v>250000</v>
      </c>
      <c r="I2" s="10">
        <v>40000</v>
      </c>
      <c r="L2" s="48">
        <v>2018</v>
      </c>
      <c r="M2">
        <v>610000</v>
      </c>
      <c r="N2">
        <v>102000</v>
      </c>
      <c r="R2" s="47" t="s">
        <v>700</v>
      </c>
      <c r="S2" t="s">
        <v>702</v>
      </c>
      <c r="T2" t="s">
        <v>755</v>
      </c>
      <c r="AE2" t="s">
        <v>702</v>
      </c>
      <c r="AG2" t="s">
        <v>755</v>
      </c>
    </row>
    <row r="3" spans="1:33" x14ac:dyDescent="0.4">
      <c r="A3" s="11" t="s">
        <v>707</v>
      </c>
      <c r="B3" s="55">
        <v>2018</v>
      </c>
      <c r="C3" s="11" t="s">
        <v>219</v>
      </c>
      <c r="D3" s="11" t="s">
        <v>503</v>
      </c>
      <c r="E3" s="11" t="s">
        <v>89</v>
      </c>
      <c r="F3" s="11" t="s">
        <v>690</v>
      </c>
      <c r="G3" s="10">
        <v>12</v>
      </c>
      <c r="H3" s="10">
        <v>180000</v>
      </c>
      <c r="I3" s="10">
        <v>30000</v>
      </c>
      <c r="L3" s="48">
        <v>2019</v>
      </c>
      <c r="M3">
        <v>625000</v>
      </c>
      <c r="N3">
        <v>103000</v>
      </c>
      <c r="R3" s="48" t="s">
        <v>691</v>
      </c>
      <c r="S3">
        <v>2176000</v>
      </c>
      <c r="T3">
        <v>366000</v>
      </c>
      <c r="AC3" t="s">
        <v>763</v>
      </c>
      <c r="AE3">
        <v>10755000</v>
      </c>
      <c r="AG3">
        <v>1792000</v>
      </c>
    </row>
    <row r="4" spans="1:33" x14ac:dyDescent="0.4">
      <c r="A4" s="11" t="s">
        <v>707</v>
      </c>
      <c r="B4" s="55">
        <v>2018</v>
      </c>
      <c r="C4" s="11" t="s">
        <v>214</v>
      </c>
      <c r="D4" s="11" t="s">
        <v>112</v>
      </c>
      <c r="E4" s="11" t="s">
        <v>744</v>
      </c>
      <c r="F4" s="11" t="s">
        <v>692</v>
      </c>
      <c r="G4" s="10">
        <v>20</v>
      </c>
      <c r="H4" s="10">
        <v>60000</v>
      </c>
      <c r="I4" s="10">
        <v>12000</v>
      </c>
      <c r="L4" s="48">
        <v>2020</v>
      </c>
      <c r="M4">
        <v>1125000</v>
      </c>
      <c r="N4">
        <v>188000</v>
      </c>
      <c r="R4" s="48" t="s">
        <v>689</v>
      </c>
      <c r="S4">
        <v>3325000</v>
      </c>
      <c r="T4">
        <v>547000</v>
      </c>
    </row>
    <row r="5" spans="1:33" x14ac:dyDescent="0.4">
      <c r="A5" s="11" t="s">
        <v>707</v>
      </c>
      <c r="B5" s="55">
        <v>2018</v>
      </c>
      <c r="C5" s="11" t="s">
        <v>217</v>
      </c>
      <c r="D5" s="11" t="s">
        <v>107</v>
      </c>
      <c r="E5" s="11" t="s">
        <v>89</v>
      </c>
      <c r="F5" s="11" t="s">
        <v>691</v>
      </c>
      <c r="G5" s="10">
        <v>8</v>
      </c>
      <c r="H5" s="10">
        <v>120000</v>
      </c>
      <c r="I5" s="10">
        <v>20000</v>
      </c>
      <c r="L5" s="48">
        <v>2021</v>
      </c>
      <c r="M5">
        <v>1175000</v>
      </c>
      <c r="N5">
        <v>196000</v>
      </c>
      <c r="R5" s="48" t="s">
        <v>690</v>
      </c>
      <c r="S5">
        <v>3179000</v>
      </c>
      <c r="T5">
        <v>529000</v>
      </c>
    </row>
    <row r="6" spans="1:33" x14ac:dyDescent="0.4">
      <c r="A6" s="11" t="s">
        <v>708</v>
      </c>
      <c r="B6" s="55">
        <v>2019</v>
      </c>
      <c r="C6" s="11" t="s">
        <v>218</v>
      </c>
      <c r="D6" s="11" t="s">
        <v>88</v>
      </c>
      <c r="E6" s="11" t="s">
        <v>89</v>
      </c>
      <c r="F6" s="11" t="s">
        <v>689</v>
      </c>
      <c r="G6" s="10">
        <v>7</v>
      </c>
      <c r="H6" s="10">
        <v>350000</v>
      </c>
      <c r="I6" s="10">
        <v>55000</v>
      </c>
      <c r="L6" s="48">
        <v>2022</v>
      </c>
      <c r="M6">
        <v>779000</v>
      </c>
      <c r="N6">
        <v>131000</v>
      </c>
      <c r="R6" s="48" t="s">
        <v>692</v>
      </c>
      <c r="S6">
        <v>2075000</v>
      </c>
      <c r="T6">
        <v>350000</v>
      </c>
      <c r="AC6" s="69" t="s">
        <v>764</v>
      </c>
      <c r="AD6" s="69"/>
      <c r="AE6">
        <f>GETPIVOTDATA("Sales",$AE$2)</f>
        <v>10755000</v>
      </c>
    </row>
    <row r="7" spans="1:33" x14ac:dyDescent="0.4">
      <c r="A7" s="11" t="s">
        <v>708</v>
      </c>
      <c r="B7" s="55">
        <v>2019</v>
      </c>
      <c r="C7" s="11" t="s">
        <v>219</v>
      </c>
      <c r="D7" s="11" t="s">
        <v>503</v>
      </c>
      <c r="E7" s="11" t="s">
        <v>89</v>
      </c>
      <c r="F7" s="11" t="s">
        <v>690</v>
      </c>
      <c r="G7" s="10">
        <v>15</v>
      </c>
      <c r="H7" s="10">
        <v>225000</v>
      </c>
      <c r="I7" s="10">
        <v>38000</v>
      </c>
      <c r="L7" s="48">
        <v>2024</v>
      </c>
      <c r="M7">
        <v>1880000</v>
      </c>
      <c r="N7">
        <v>312000</v>
      </c>
      <c r="R7" s="48" t="s">
        <v>701</v>
      </c>
      <c r="S7">
        <v>10755000</v>
      </c>
      <c r="T7">
        <v>1792000</v>
      </c>
      <c r="AC7" s="69"/>
      <c r="AD7" s="69"/>
    </row>
    <row r="8" spans="1:33" x14ac:dyDescent="0.4">
      <c r="A8" s="11" t="s">
        <v>708</v>
      </c>
      <c r="B8" s="55">
        <v>2019</v>
      </c>
      <c r="C8" s="11" t="s">
        <v>214</v>
      </c>
      <c r="D8" s="11" t="s">
        <v>92</v>
      </c>
      <c r="E8" s="11" t="s">
        <v>744</v>
      </c>
      <c r="F8" s="11" t="s">
        <v>692</v>
      </c>
      <c r="G8" s="10">
        <v>25</v>
      </c>
      <c r="H8" s="10">
        <v>50000</v>
      </c>
      <c r="I8" s="10">
        <v>10000</v>
      </c>
      <c r="L8" s="48">
        <v>2025</v>
      </c>
      <c r="M8">
        <v>1926000</v>
      </c>
      <c r="N8">
        <v>321000</v>
      </c>
      <c r="AC8" s="69"/>
      <c r="AD8" s="69"/>
    </row>
    <row r="9" spans="1:33" x14ac:dyDescent="0.4">
      <c r="A9" s="11" t="s">
        <v>708</v>
      </c>
      <c r="B9" s="55">
        <v>2020</v>
      </c>
      <c r="C9" s="11" t="s">
        <v>217</v>
      </c>
      <c r="D9" s="11" t="s">
        <v>104</v>
      </c>
      <c r="E9" s="11" t="s">
        <v>89</v>
      </c>
      <c r="F9" s="11" t="s">
        <v>691</v>
      </c>
      <c r="G9" s="10">
        <v>10</v>
      </c>
      <c r="H9" s="10">
        <v>150000</v>
      </c>
      <c r="I9" s="10">
        <v>25000</v>
      </c>
      <c r="L9" s="48">
        <v>2026</v>
      </c>
      <c r="M9">
        <v>2635000</v>
      </c>
      <c r="N9">
        <v>439000</v>
      </c>
    </row>
    <row r="10" spans="1:33" x14ac:dyDescent="0.4">
      <c r="A10" s="11" t="s">
        <v>745</v>
      </c>
      <c r="B10" s="55">
        <v>2020</v>
      </c>
      <c r="C10" s="11" t="s">
        <v>218</v>
      </c>
      <c r="D10" s="11" t="s">
        <v>503</v>
      </c>
      <c r="E10" s="11" t="s">
        <v>89</v>
      </c>
      <c r="F10" s="11" t="s">
        <v>689</v>
      </c>
      <c r="G10" s="10">
        <v>18</v>
      </c>
      <c r="H10" s="10">
        <v>270000</v>
      </c>
      <c r="I10" s="10">
        <v>45000</v>
      </c>
      <c r="L10" s="48" t="s">
        <v>701</v>
      </c>
      <c r="M10">
        <v>10755000</v>
      </c>
      <c r="N10">
        <v>1792000</v>
      </c>
    </row>
    <row r="11" spans="1:33" x14ac:dyDescent="0.4">
      <c r="A11" s="11" t="s">
        <v>745</v>
      </c>
      <c r="B11" s="55">
        <v>2020</v>
      </c>
      <c r="C11" s="11" t="s">
        <v>219</v>
      </c>
      <c r="D11" s="11" t="s">
        <v>88</v>
      </c>
      <c r="E11" s="11" t="s">
        <v>89</v>
      </c>
      <c r="F11" s="11" t="s">
        <v>690</v>
      </c>
      <c r="G11" s="10">
        <v>6</v>
      </c>
      <c r="H11" s="10">
        <v>300000</v>
      </c>
      <c r="I11" s="10">
        <v>48000</v>
      </c>
    </row>
    <row r="12" spans="1:33" x14ac:dyDescent="0.4">
      <c r="A12" s="11" t="s">
        <v>745</v>
      </c>
      <c r="B12" s="55">
        <v>2020</v>
      </c>
      <c r="C12" s="11" t="s">
        <v>214</v>
      </c>
      <c r="D12" s="11" t="s">
        <v>107</v>
      </c>
      <c r="E12" s="11" t="s">
        <v>89</v>
      </c>
      <c r="F12" s="11" t="s">
        <v>692</v>
      </c>
      <c r="G12" s="10">
        <v>12</v>
      </c>
      <c r="H12" s="10">
        <v>180000</v>
      </c>
      <c r="I12" s="10">
        <v>30000</v>
      </c>
    </row>
    <row r="13" spans="1:33" x14ac:dyDescent="0.4">
      <c r="A13" s="11" t="s">
        <v>745</v>
      </c>
      <c r="B13" s="55">
        <v>2020</v>
      </c>
      <c r="C13" s="11" t="s">
        <v>217</v>
      </c>
      <c r="D13" s="11" t="s">
        <v>112</v>
      </c>
      <c r="E13" s="11" t="s">
        <v>744</v>
      </c>
      <c r="F13" s="11" t="s">
        <v>691</v>
      </c>
      <c r="G13" s="10">
        <v>30</v>
      </c>
      <c r="H13" s="10">
        <v>90000</v>
      </c>
      <c r="I13" s="10">
        <v>18000</v>
      </c>
    </row>
    <row r="14" spans="1:33" x14ac:dyDescent="0.4">
      <c r="A14" s="11" t="s">
        <v>746</v>
      </c>
      <c r="B14" s="55">
        <v>2020</v>
      </c>
      <c r="C14" s="11" t="s">
        <v>218</v>
      </c>
      <c r="D14" s="11" t="s">
        <v>104</v>
      </c>
      <c r="E14" s="11" t="s">
        <v>89</v>
      </c>
      <c r="F14" s="11" t="s">
        <v>689</v>
      </c>
      <c r="G14" s="10">
        <v>9</v>
      </c>
      <c r="H14" s="10">
        <v>135000</v>
      </c>
      <c r="I14" s="10">
        <v>22000</v>
      </c>
    </row>
    <row r="15" spans="1:33" x14ac:dyDescent="0.4">
      <c r="A15" s="11" t="s">
        <v>746</v>
      </c>
      <c r="B15" s="55">
        <v>2021</v>
      </c>
      <c r="C15" s="11" t="s">
        <v>219</v>
      </c>
      <c r="D15" s="11" t="s">
        <v>503</v>
      </c>
      <c r="E15" s="11" t="s">
        <v>89</v>
      </c>
      <c r="F15" s="11" t="s">
        <v>690</v>
      </c>
      <c r="G15" s="10">
        <v>20</v>
      </c>
      <c r="H15" s="10">
        <v>300000</v>
      </c>
      <c r="I15" s="10">
        <v>50000</v>
      </c>
    </row>
    <row r="16" spans="1:33" x14ac:dyDescent="0.4">
      <c r="A16" s="11" t="s">
        <v>746</v>
      </c>
      <c r="B16" s="55">
        <v>2021</v>
      </c>
      <c r="C16" s="11" t="s">
        <v>214</v>
      </c>
      <c r="D16" s="11" t="s">
        <v>88</v>
      </c>
      <c r="E16" s="11" t="s">
        <v>89</v>
      </c>
      <c r="F16" s="11" t="s">
        <v>692</v>
      </c>
      <c r="G16" s="10">
        <v>5</v>
      </c>
      <c r="H16" s="10">
        <v>250000</v>
      </c>
      <c r="I16" s="10">
        <v>40000</v>
      </c>
    </row>
    <row r="17" spans="1:13" x14ac:dyDescent="0.4">
      <c r="A17" s="11" t="s">
        <v>746</v>
      </c>
      <c r="B17" s="55">
        <v>2021</v>
      </c>
      <c r="C17" s="11" t="s">
        <v>217</v>
      </c>
      <c r="D17" s="11" t="s">
        <v>92</v>
      </c>
      <c r="E17" s="11" t="s">
        <v>744</v>
      </c>
      <c r="F17" s="11" t="s">
        <v>691</v>
      </c>
      <c r="G17" s="10">
        <v>35</v>
      </c>
      <c r="H17" s="10">
        <v>70000</v>
      </c>
      <c r="I17" s="10">
        <v>14000</v>
      </c>
    </row>
    <row r="18" spans="1:13" x14ac:dyDescent="0.4">
      <c r="A18" s="11" t="s">
        <v>747</v>
      </c>
      <c r="B18" s="55">
        <v>2021</v>
      </c>
      <c r="C18" s="11" t="s">
        <v>218</v>
      </c>
      <c r="D18" s="11" t="s">
        <v>107</v>
      </c>
      <c r="E18" s="11" t="s">
        <v>89</v>
      </c>
      <c r="F18" s="11" t="s">
        <v>689</v>
      </c>
      <c r="G18" s="10">
        <v>15</v>
      </c>
      <c r="H18" s="10">
        <v>225000</v>
      </c>
      <c r="I18" s="10">
        <v>37000</v>
      </c>
    </row>
    <row r="19" spans="1:13" x14ac:dyDescent="0.4">
      <c r="A19" s="11" t="s">
        <v>747</v>
      </c>
      <c r="B19" s="55">
        <v>2021</v>
      </c>
      <c r="C19" s="11" t="s">
        <v>219</v>
      </c>
      <c r="D19" s="11" t="s">
        <v>104</v>
      </c>
      <c r="E19" s="11" t="s">
        <v>89</v>
      </c>
      <c r="F19" s="11" t="s">
        <v>690</v>
      </c>
      <c r="G19" s="10">
        <v>8</v>
      </c>
      <c r="H19" s="10">
        <v>120000</v>
      </c>
      <c r="I19" s="10">
        <v>20000</v>
      </c>
    </row>
    <row r="20" spans="1:13" x14ac:dyDescent="0.4">
      <c r="A20" s="11" t="s">
        <v>747</v>
      </c>
      <c r="B20" s="55">
        <v>2021</v>
      </c>
      <c r="C20" s="11" t="s">
        <v>214</v>
      </c>
      <c r="D20" s="11" t="s">
        <v>503</v>
      </c>
      <c r="E20" s="11" t="s">
        <v>89</v>
      </c>
      <c r="F20" s="11" t="s">
        <v>692</v>
      </c>
      <c r="G20" s="10">
        <v>14</v>
      </c>
      <c r="H20" s="10">
        <v>210000</v>
      </c>
      <c r="I20" s="10">
        <v>35000</v>
      </c>
    </row>
    <row r="21" spans="1:13" x14ac:dyDescent="0.4">
      <c r="A21" s="11" t="s">
        <v>747</v>
      </c>
      <c r="B21" s="55">
        <v>2022</v>
      </c>
      <c r="C21" s="11" t="s">
        <v>217</v>
      </c>
      <c r="D21" s="11" t="s">
        <v>88</v>
      </c>
      <c r="E21" s="11" t="s">
        <v>89</v>
      </c>
      <c r="F21" s="11" t="s">
        <v>691</v>
      </c>
      <c r="G21" s="10">
        <v>4</v>
      </c>
      <c r="H21" s="10">
        <v>200000</v>
      </c>
      <c r="I21" s="10">
        <v>32000</v>
      </c>
    </row>
    <row r="22" spans="1:13" x14ac:dyDescent="0.4">
      <c r="A22" s="11" t="s">
        <v>748</v>
      </c>
      <c r="B22" s="55">
        <v>2022</v>
      </c>
      <c r="C22" s="11" t="s">
        <v>218</v>
      </c>
      <c r="D22" s="11" t="s">
        <v>503</v>
      </c>
      <c r="E22" s="11" t="s">
        <v>89</v>
      </c>
      <c r="F22" s="11" t="s">
        <v>689</v>
      </c>
      <c r="G22" s="10">
        <v>22</v>
      </c>
      <c r="H22" s="10">
        <v>330000</v>
      </c>
      <c r="I22" s="10">
        <v>55000</v>
      </c>
    </row>
    <row r="23" spans="1:13" x14ac:dyDescent="0.4">
      <c r="A23" s="11" t="s">
        <v>748</v>
      </c>
      <c r="B23" s="55">
        <v>2022</v>
      </c>
      <c r="C23" s="11" t="s">
        <v>219</v>
      </c>
      <c r="D23" s="11" t="s">
        <v>112</v>
      </c>
      <c r="E23" s="11" t="s">
        <v>744</v>
      </c>
      <c r="F23" s="11" t="s">
        <v>690</v>
      </c>
      <c r="G23" s="10">
        <v>28</v>
      </c>
      <c r="H23" s="10">
        <v>84000</v>
      </c>
      <c r="I23" s="10">
        <v>17000</v>
      </c>
    </row>
    <row r="24" spans="1:13" x14ac:dyDescent="0.4">
      <c r="A24" s="11" t="s">
        <v>748</v>
      </c>
      <c r="B24" s="55">
        <v>2022</v>
      </c>
      <c r="C24" s="11" t="s">
        <v>214</v>
      </c>
      <c r="D24" s="11" t="s">
        <v>104</v>
      </c>
      <c r="E24" s="11" t="s">
        <v>89</v>
      </c>
      <c r="F24" s="11" t="s">
        <v>692</v>
      </c>
      <c r="G24" s="10">
        <v>11</v>
      </c>
      <c r="H24" s="10">
        <v>165000</v>
      </c>
      <c r="I24" s="10">
        <v>27000</v>
      </c>
    </row>
    <row r="25" spans="1:13" x14ac:dyDescent="0.4">
      <c r="A25" s="11" t="s">
        <v>748</v>
      </c>
      <c r="B25" s="55">
        <v>2024</v>
      </c>
      <c r="C25" s="11" t="s">
        <v>217</v>
      </c>
      <c r="D25" s="11" t="s">
        <v>107</v>
      </c>
      <c r="E25" s="11" t="s">
        <v>89</v>
      </c>
      <c r="F25" s="11" t="s">
        <v>691</v>
      </c>
      <c r="G25" s="10">
        <v>13</v>
      </c>
      <c r="H25" s="10">
        <v>195000</v>
      </c>
      <c r="I25" s="10">
        <v>32000</v>
      </c>
    </row>
    <row r="26" spans="1:13" x14ac:dyDescent="0.4">
      <c r="A26" s="11" t="s">
        <v>749</v>
      </c>
      <c r="B26" s="55">
        <v>2024</v>
      </c>
      <c r="C26" s="11" t="s">
        <v>218</v>
      </c>
      <c r="D26" s="11" t="s">
        <v>88</v>
      </c>
      <c r="E26" s="11" t="s">
        <v>89</v>
      </c>
      <c r="F26" s="11" t="s">
        <v>689</v>
      </c>
      <c r="G26" s="10">
        <v>8</v>
      </c>
      <c r="H26" s="10">
        <v>400000</v>
      </c>
      <c r="I26" s="10">
        <v>65000</v>
      </c>
    </row>
    <row r="27" spans="1:13" x14ac:dyDescent="0.4">
      <c r="A27" s="11" t="s">
        <v>749</v>
      </c>
      <c r="B27" s="55">
        <v>2024</v>
      </c>
      <c r="C27" s="11" t="s">
        <v>219</v>
      </c>
      <c r="D27" s="11" t="s">
        <v>503</v>
      </c>
      <c r="E27" s="11" t="s">
        <v>89</v>
      </c>
      <c r="F27" s="11" t="s">
        <v>690</v>
      </c>
      <c r="G27" s="10">
        <v>25</v>
      </c>
      <c r="H27" s="10">
        <v>375000</v>
      </c>
      <c r="I27" s="10">
        <v>62000</v>
      </c>
    </row>
    <row r="28" spans="1:13" x14ac:dyDescent="0.4">
      <c r="A28" s="11" t="s">
        <v>749</v>
      </c>
      <c r="B28" s="55">
        <v>2024</v>
      </c>
      <c r="C28" s="11" t="s">
        <v>214</v>
      </c>
      <c r="D28" s="11" t="s">
        <v>92</v>
      </c>
      <c r="E28" s="11" t="s">
        <v>744</v>
      </c>
      <c r="F28" s="11" t="s">
        <v>692</v>
      </c>
      <c r="G28" s="10">
        <v>40</v>
      </c>
      <c r="H28" s="10">
        <v>80000</v>
      </c>
      <c r="I28" s="10">
        <v>16000</v>
      </c>
    </row>
    <row r="29" spans="1:13" x14ac:dyDescent="0.4">
      <c r="A29" s="11" t="s">
        <v>749</v>
      </c>
      <c r="B29" s="55">
        <v>2024</v>
      </c>
      <c r="C29" s="11" t="s">
        <v>217</v>
      </c>
      <c r="D29" s="11" t="s">
        <v>104</v>
      </c>
      <c r="E29" s="11" t="s">
        <v>89</v>
      </c>
      <c r="F29" s="11" t="s">
        <v>691</v>
      </c>
      <c r="G29" s="10">
        <v>14</v>
      </c>
      <c r="H29" s="10">
        <v>210000</v>
      </c>
      <c r="I29" s="10">
        <v>35000</v>
      </c>
    </row>
    <row r="30" spans="1:13" x14ac:dyDescent="0.4">
      <c r="A30" s="11" t="s">
        <v>750</v>
      </c>
      <c r="B30" s="55">
        <v>2024</v>
      </c>
      <c r="C30" s="11" t="s">
        <v>218</v>
      </c>
      <c r="D30" s="11" t="s">
        <v>107</v>
      </c>
      <c r="E30" s="11" t="s">
        <v>89</v>
      </c>
      <c r="F30" s="11" t="s">
        <v>689</v>
      </c>
      <c r="G30" s="10">
        <v>18</v>
      </c>
      <c r="H30" s="10">
        <v>270000</v>
      </c>
      <c r="I30" s="10">
        <v>45000</v>
      </c>
      <c r="L30" s="47" t="s">
        <v>700</v>
      </c>
      <c r="M30" t="s">
        <v>755</v>
      </c>
    </row>
    <row r="31" spans="1:13" x14ac:dyDescent="0.4">
      <c r="A31" s="11" t="s">
        <v>750</v>
      </c>
      <c r="B31" s="55">
        <v>2024</v>
      </c>
      <c r="C31" s="11" t="s">
        <v>219</v>
      </c>
      <c r="D31" s="11" t="s">
        <v>88</v>
      </c>
      <c r="E31" s="11" t="s">
        <v>89</v>
      </c>
      <c r="F31" s="11" t="s">
        <v>690</v>
      </c>
      <c r="G31" s="10">
        <v>7</v>
      </c>
      <c r="H31" s="10">
        <v>350000</v>
      </c>
      <c r="I31" s="10">
        <v>57000</v>
      </c>
      <c r="L31" s="48">
        <v>4</v>
      </c>
      <c r="M31">
        <v>32000</v>
      </c>
    </row>
    <row r="32" spans="1:13" x14ac:dyDescent="0.4">
      <c r="A32" s="11" t="s">
        <v>750</v>
      </c>
      <c r="B32" s="55">
        <v>2025</v>
      </c>
      <c r="C32" s="11" t="s">
        <v>214</v>
      </c>
      <c r="D32" s="11" t="s">
        <v>503</v>
      </c>
      <c r="E32" s="11" t="s">
        <v>89</v>
      </c>
      <c r="F32" s="11" t="s">
        <v>692</v>
      </c>
      <c r="G32" s="10">
        <v>19</v>
      </c>
      <c r="H32" s="10">
        <v>285000</v>
      </c>
      <c r="I32" s="10">
        <v>47000</v>
      </c>
      <c r="L32" s="48">
        <v>5</v>
      </c>
      <c r="M32">
        <v>120000</v>
      </c>
    </row>
    <row r="33" spans="1:13" x14ac:dyDescent="0.4">
      <c r="A33" s="11" t="s">
        <v>750</v>
      </c>
      <c r="B33" s="55">
        <v>2025</v>
      </c>
      <c r="C33" s="11" t="s">
        <v>217</v>
      </c>
      <c r="D33" s="11" t="s">
        <v>112</v>
      </c>
      <c r="E33" s="11" t="s">
        <v>744</v>
      </c>
      <c r="F33" s="11" t="s">
        <v>691</v>
      </c>
      <c r="G33" s="10">
        <v>32</v>
      </c>
      <c r="H33" s="10">
        <v>96000</v>
      </c>
      <c r="I33" s="10">
        <v>19000</v>
      </c>
      <c r="L33" s="48">
        <v>6</v>
      </c>
      <c r="M33">
        <v>96000</v>
      </c>
    </row>
    <row r="34" spans="1:13" x14ac:dyDescent="0.4">
      <c r="A34" s="11" t="s">
        <v>751</v>
      </c>
      <c r="B34" s="55">
        <v>2025</v>
      </c>
      <c r="C34" s="11" t="s">
        <v>218</v>
      </c>
      <c r="D34" s="11" t="s">
        <v>104</v>
      </c>
      <c r="E34" s="11" t="s">
        <v>89</v>
      </c>
      <c r="F34" s="11" t="s">
        <v>689</v>
      </c>
      <c r="G34" s="10">
        <v>12</v>
      </c>
      <c r="H34" s="10">
        <v>180000</v>
      </c>
      <c r="I34" s="10">
        <v>30000</v>
      </c>
      <c r="L34" s="48">
        <v>7</v>
      </c>
      <c r="M34">
        <v>112000</v>
      </c>
    </row>
    <row r="35" spans="1:13" x14ac:dyDescent="0.4">
      <c r="A35" s="11" t="s">
        <v>751</v>
      </c>
      <c r="B35" s="55">
        <v>2025</v>
      </c>
      <c r="C35" s="11" t="s">
        <v>219</v>
      </c>
      <c r="D35" s="11" t="s">
        <v>107</v>
      </c>
      <c r="E35" s="11" t="s">
        <v>89</v>
      </c>
      <c r="F35" s="11" t="s">
        <v>690</v>
      </c>
      <c r="G35" s="10">
        <v>16</v>
      </c>
      <c r="H35" s="10">
        <v>240000</v>
      </c>
      <c r="I35" s="10">
        <v>40000</v>
      </c>
      <c r="L35" s="48">
        <v>8</v>
      </c>
      <c r="M35">
        <v>105000</v>
      </c>
    </row>
    <row r="36" spans="1:13" x14ac:dyDescent="0.4">
      <c r="A36" s="11" t="s">
        <v>751</v>
      </c>
      <c r="B36" s="55">
        <v>2025</v>
      </c>
      <c r="C36" s="11" t="s">
        <v>214</v>
      </c>
      <c r="D36" s="11" t="s">
        <v>88</v>
      </c>
      <c r="E36" s="11" t="s">
        <v>89</v>
      </c>
      <c r="F36" s="11" t="s">
        <v>692</v>
      </c>
      <c r="G36" s="10">
        <v>6</v>
      </c>
      <c r="H36" s="10">
        <v>300000</v>
      </c>
      <c r="I36" s="10">
        <v>48000</v>
      </c>
      <c r="L36" s="48">
        <v>9</v>
      </c>
      <c r="M36">
        <v>94000</v>
      </c>
    </row>
    <row r="37" spans="1:13" x14ac:dyDescent="0.4">
      <c r="A37" s="11" t="s">
        <v>751</v>
      </c>
      <c r="B37" s="55">
        <v>2025</v>
      </c>
      <c r="C37" s="11" t="s">
        <v>217</v>
      </c>
      <c r="D37" s="11" t="s">
        <v>503</v>
      </c>
      <c r="E37" s="11" t="s">
        <v>89</v>
      </c>
      <c r="F37" s="11" t="s">
        <v>691</v>
      </c>
      <c r="G37" s="10">
        <v>21</v>
      </c>
      <c r="H37" s="10">
        <v>315000</v>
      </c>
      <c r="I37" s="10">
        <v>52000</v>
      </c>
      <c r="L37" s="48">
        <v>10</v>
      </c>
      <c r="M37">
        <v>50000</v>
      </c>
    </row>
    <row r="38" spans="1:13" x14ac:dyDescent="0.4">
      <c r="A38" s="11" t="s">
        <v>752</v>
      </c>
      <c r="B38" s="55">
        <v>2025</v>
      </c>
      <c r="C38" s="11" t="s">
        <v>218</v>
      </c>
      <c r="D38" s="11" t="s">
        <v>503</v>
      </c>
      <c r="E38" s="11" t="s">
        <v>89</v>
      </c>
      <c r="F38" s="11" t="s">
        <v>689</v>
      </c>
      <c r="G38" s="10">
        <v>24</v>
      </c>
      <c r="H38" s="10">
        <v>360000</v>
      </c>
      <c r="I38" s="10">
        <v>60000</v>
      </c>
      <c r="L38" s="48">
        <v>11</v>
      </c>
      <c r="M38">
        <v>27000</v>
      </c>
    </row>
    <row r="39" spans="1:13" x14ac:dyDescent="0.4">
      <c r="A39" s="11" t="s">
        <v>752</v>
      </c>
      <c r="B39" s="55">
        <v>2025</v>
      </c>
      <c r="C39" s="11" t="s">
        <v>219</v>
      </c>
      <c r="D39" s="11" t="s">
        <v>104</v>
      </c>
      <c r="E39" s="11" t="s">
        <v>89</v>
      </c>
      <c r="F39" s="11" t="s">
        <v>690</v>
      </c>
      <c r="G39" s="10">
        <v>10</v>
      </c>
      <c r="H39" s="10">
        <v>150000</v>
      </c>
      <c r="I39" s="10">
        <v>25000</v>
      </c>
      <c r="L39" s="48">
        <v>12</v>
      </c>
      <c r="M39">
        <v>90000</v>
      </c>
    </row>
    <row r="40" spans="1:13" x14ac:dyDescent="0.4">
      <c r="A40" s="11" t="s">
        <v>752</v>
      </c>
      <c r="B40" s="55">
        <v>2026</v>
      </c>
      <c r="C40" s="11" t="s">
        <v>214</v>
      </c>
      <c r="D40" s="11" t="s">
        <v>107</v>
      </c>
      <c r="E40" s="11" t="s">
        <v>89</v>
      </c>
      <c r="F40" s="11" t="s">
        <v>692</v>
      </c>
      <c r="G40" s="10">
        <v>14</v>
      </c>
      <c r="H40" s="10">
        <v>210000</v>
      </c>
      <c r="I40" s="10">
        <v>35000</v>
      </c>
      <c r="L40" s="48">
        <v>13</v>
      </c>
      <c r="M40">
        <v>64000</v>
      </c>
    </row>
    <row r="41" spans="1:13" x14ac:dyDescent="0.4">
      <c r="A41" s="11" t="s">
        <v>752</v>
      </c>
      <c r="B41" s="55">
        <v>2026</v>
      </c>
      <c r="C41" s="11" t="s">
        <v>217</v>
      </c>
      <c r="D41" s="11" t="s">
        <v>88</v>
      </c>
      <c r="E41" s="11" t="s">
        <v>89</v>
      </c>
      <c r="F41" s="11" t="s">
        <v>691</v>
      </c>
      <c r="G41" s="10">
        <v>5</v>
      </c>
      <c r="H41" s="10">
        <v>250000</v>
      </c>
      <c r="I41" s="10">
        <v>40000</v>
      </c>
      <c r="L41" s="48">
        <v>14</v>
      </c>
      <c r="M41">
        <v>105000</v>
      </c>
    </row>
    <row r="42" spans="1:13" x14ac:dyDescent="0.4">
      <c r="A42" s="11" t="s">
        <v>753</v>
      </c>
      <c r="B42" s="55">
        <v>2026</v>
      </c>
      <c r="C42" s="11" t="s">
        <v>218</v>
      </c>
      <c r="D42" s="11" t="s">
        <v>112</v>
      </c>
      <c r="E42" s="11" t="s">
        <v>744</v>
      </c>
      <c r="F42" s="11" t="s">
        <v>689</v>
      </c>
      <c r="G42" s="10">
        <v>35</v>
      </c>
      <c r="H42" s="10">
        <v>105000</v>
      </c>
      <c r="I42" s="10">
        <v>21000</v>
      </c>
      <c r="L42" s="48">
        <v>15</v>
      </c>
      <c r="M42">
        <v>112000</v>
      </c>
    </row>
    <row r="43" spans="1:13" x14ac:dyDescent="0.4">
      <c r="A43" s="11" t="s">
        <v>753</v>
      </c>
      <c r="B43" s="55">
        <v>2026</v>
      </c>
      <c r="C43" s="11" t="s">
        <v>219</v>
      </c>
      <c r="D43" s="11" t="s">
        <v>503</v>
      </c>
      <c r="E43" s="11" t="s">
        <v>89</v>
      </c>
      <c r="F43" s="11" t="s">
        <v>690</v>
      </c>
      <c r="G43" s="10">
        <v>27</v>
      </c>
      <c r="H43" s="10">
        <v>405000</v>
      </c>
      <c r="I43" s="10">
        <v>67000</v>
      </c>
      <c r="L43" s="48">
        <v>16</v>
      </c>
      <c r="M43">
        <v>40000</v>
      </c>
    </row>
    <row r="44" spans="1:13" x14ac:dyDescent="0.4">
      <c r="A44" s="11" t="s">
        <v>753</v>
      </c>
      <c r="B44" s="55">
        <v>2026</v>
      </c>
      <c r="C44" s="11" t="s">
        <v>214</v>
      </c>
      <c r="D44" s="11" t="s">
        <v>104</v>
      </c>
      <c r="E44" s="11" t="s">
        <v>89</v>
      </c>
      <c r="F44" s="11" t="s">
        <v>692</v>
      </c>
      <c r="G44" s="10">
        <v>13</v>
      </c>
      <c r="H44" s="10">
        <v>195000</v>
      </c>
      <c r="I44" s="10">
        <v>32000</v>
      </c>
      <c r="L44" s="48">
        <v>17</v>
      </c>
      <c r="M44">
        <v>42000</v>
      </c>
    </row>
    <row r="45" spans="1:13" x14ac:dyDescent="0.4">
      <c r="A45" s="11" t="s">
        <v>753</v>
      </c>
      <c r="B45" s="55">
        <v>2026</v>
      </c>
      <c r="C45" s="11" t="s">
        <v>217</v>
      </c>
      <c r="D45" s="11" t="s">
        <v>107</v>
      </c>
      <c r="E45" s="11" t="s">
        <v>89</v>
      </c>
      <c r="F45" s="11" t="s">
        <v>691</v>
      </c>
      <c r="G45" s="10">
        <v>17</v>
      </c>
      <c r="H45" s="10">
        <v>255000</v>
      </c>
      <c r="I45" s="10">
        <v>42000</v>
      </c>
      <c r="L45" s="48">
        <v>18</v>
      </c>
      <c r="M45">
        <v>90000</v>
      </c>
    </row>
    <row r="46" spans="1:13" x14ac:dyDescent="0.4">
      <c r="A46" s="11" t="s">
        <v>754</v>
      </c>
      <c r="B46" s="55">
        <v>2026</v>
      </c>
      <c r="C46" s="11" t="s">
        <v>218</v>
      </c>
      <c r="D46" s="11" t="s">
        <v>88</v>
      </c>
      <c r="E46" s="11" t="s">
        <v>89</v>
      </c>
      <c r="F46" s="11" t="s">
        <v>689</v>
      </c>
      <c r="G46" s="10">
        <v>9</v>
      </c>
      <c r="H46" s="10">
        <v>450000</v>
      </c>
      <c r="I46" s="10">
        <v>72000</v>
      </c>
      <c r="L46" s="48">
        <v>19</v>
      </c>
      <c r="M46">
        <v>47000</v>
      </c>
    </row>
    <row r="47" spans="1:13" x14ac:dyDescent="0.4">
      <c r="A47" s="11" t="s">
        <v>754</v>
      </c>
      <c r="B47" s="55">
        <v>2026</v>
      </c>
      <c r="C47" s="11" t="s">
        <v>219</v>
      </c>
      <c r="D47" s="11" t="s">
        <v>503</v>
      </c>
      <c r="E47" s="11" t="s">
        <v>89</v>
      </c>
      <c r="F47" s="11" t="s">
        <v>690</v>
      </c>
      <c r="G47" s="10">
        <v>30</v>
      </c>
      <c r="H47" s="10">
        <v>450000</v>
      </c>
      <c r="I47" s="10">
        <v>75000</v>
      </c>
      <c r="L47" s="48">
        <v>20</v>
      </c>
      <c r="M47">
        <v>62000</v>
      </c>
    </row>
    <row r="48" spans="1:13" x14ac:dyDescent="0.4">
      <c r="A48" s="11" t="s">
        <v>754</v>
      </c>
      <c r="B48" s="55">
        <v>2026</v>
      </c>
      <c r="C48" s="11" t="s">
        <v>214</v>
      </c>
      <c r="D48" s="11" t="s">
        <v>92</v>
      </c>
      <c r="E48" s="11" t="s">
        <v>744</v>
      </c>
      <c r="F48" s="11" t="s">
        <v>692</v>
      </c>
      <c r="G48" s="10">
        <v>45</v>
      </c>
      <c r="H48" s="10">
        <v>90000</v>
      </c>
      <c r="I48" s="10">
        <v>18000</v>
      </c>
      <c r="L48" s="48">
        <v>21</v>
      </c>
      <c r="M48">
        <v>52000</v>
      </c>
    </row>
    <row r="49" spans="1:13" x14ac:dyDescent="0.4">
      <c r="A49" s="11" t="s">
        <v>754</v>
      </c>
      <c r="B49" s="55">
        <v>2026</v>
      </c>
      <c r="C49" s="11" t="s">
        <v>217</v>
      </c>
      <c r="D49" s="11" t="s">
        <v>104</v>
      </c>
      <c r="E49" s="11" t="s">
        <v>89</v>
      </c>
      <c r="F49" s="11" t="s">
        <v>691</v>
      </c>
      <c r="G49" s="10">
        <v>15</v>
      </c>
      <c r="H49" s="10">
        <v>225000</v>
      </c>
      <c r="I49" s="10">
        <v>37000</v>
      </c>
      <c r="L49" s="48">
        <v>22</v>
      </c>
      <c r="M49">
        <v>55000</v>
      </c>
    </row>
    <row r="50" spans="1:13" x14ac:dyDescent="0.4">
      <c r="B50" s="7"/>
      <c r="L50" s="48">
        <v>24</v>
      </c>
      <c r="M50">
        <v>60000</v>
      </c>
    </row>
    <row r="51" spans="1:13" x14ac:dyDescent="0.4">
      <c r="B51" s="7"/>
      <c r="L51" s="48">
        <v>25</v>
      </c>
      <c r="M51">
        <v>72000</v>
      </c>
    </row>
    <row r="52" spans="1:13" x14ac:dyDescent="0.4">
      <c r="B52" s="7"/>
      <c r="L52" s="48">
        <v>27</v>
      </c>
      <c r="M52">
        <v>67000</v>
      </c>
    </row>
    <row r="53" spans="1:13" x14ac:dyDescent="0.4">
      <c r="B53" s="7"/>
      <c r="L53" s="48">
        <v>28</v>
      </c>
      <c r="M53">
        <v>17000</v>
      </c>
    </row>
    <row r="54" spans="1:13" x14ac:dyDescent="0.4">
      <c r="B54" s="7"/>
      <c r="L54" s="48">
        <v>30</v>
      </c>
      <c r="M54">
        <v>93000</v>
      </c>
    </row>
    <row r="55" spans="1:13" x14ac:dyDescent="0.4">
      <c r="B55" s="7"/>
      <c r="L55" s="48">
        <v>32</v>
      </c>
      <c r="M55">
        <v>19000</v>
      </c>
    </row>
    <row r="56" spans="1:13" x14ac:dyDescent="0.4">
      <c r="B56" s="7"/>
      <c r="L56" s="48">
        <v>35</v>
      </c>
      <c r="M56">
        <v>35000</v>
      </c>
    </row>
    <row r="57" spans="1:13" x14ac:dyDescent="0.4">
      <c r="B57" s="7"/>
      <c r="L57" s="48">
        <v>40</v>
      </c>
      <c r="M57">
        <v>16000</v>
      </c>
    </row>
    <row r="58" spans="1:13" x14ac:dyDescent="0.4">
      <c r="B58" s="7"/>
      <c r="L58" s="48">
        <v>45</v>
      </c>
      <c r="M58">
        <v>18000</v>
      </c>
    </row>
    <row r="59" spans="1:13" x14ac:dyDescent="0.4">
      <c r="B59" s="7"/>
      <c r="L59" s="48" t="s">
        <v>701</v>
      </c>
      <c r="M59">
        <v>1792000</v>
      </c>
    </row>
    <row r="60" spans="1:13" x14ac:dyDescent="0.4">
      <c r="B60" s="7"/>
    </row>
    <row r="61" spans="1:13" x14ac:dyDescent="0.4">
      <c r="B61" s="7"/>
    </row>
    <row r="62" spans="1:13" x14ac:dyDescent="0.4">
      <c r="B62" s="7"/>
      <c r="C62" s="18" t="s">
        <v>756</v>
      </c>
    </row>
    <row r="63" spans="1:13" x14ac:dyDescent="0.4">
      <c r="B63" s="7"/>
    </row>
    <row r="64" spans="1:13" x14ac:dyDescent="0.4">
      <c r="B64" s="7"/>
      <c r="C64" t="s">
        <v>757</v>
      </c>
      <c r="D64" t="s">
        <v>758</v>
      </c>
    </row>
    <row r="65" spans="2:4" x14ac:dyDescent="0.4">
      <c r="B65" s="7"/>
      <c r="C65">
        <v>5</v>
      </c>
      <c r="D65">
        <v>10</v>
      </c>
    </row>
    <row r="66" spans="2:4" x14ac:dyDescent="0.4">
      <c r="B66" s="7"/>
      <c r="C66">
        <v>10</v>
      </c>
      <c r="D66">
        <v>15</v>
      </c>
    </row>
    <row r="67" spans="2:4" x14ac:dyDescent="0.4">
      <c r="B67" s="7"/>
      <c r="C67">
        <v>15</v>
      </c>
      <c r="D67">
        <v>20</v>
      </c>
    </row>
    <row r="68" spans="2:4" x14ac:dyDescent="0.4">
      <c r="B68" s="7"/>
      <c r="C68">
        <v>20</v>
      </c>
      <c r="D68">
        <v>25</v>
      </c>
    </row>
    <row r="69" spans="2:4" x14ac:dyDescent="0.4">
      <c r="B69" s="7"/>
    </row>
    <row r="70" spans="2:4" x14ac:dyDescent="0.4">
      <c r="B70" s="7"/>
      <c r="C70" s="17" t="s">
        <v>759</v>
      </c>
    </row>
    <row r="71" spans="2:4" x14ac:dyDescent="0.4">
      <c r="B71" s="7"/>
    </row>
    <row r="72" spans="2:4" x14ac:dyDescent="0.4">
      <c r="B72" s="7"/>
    </row>
    <row r="73" spans="2:4" x14ac:dyDescent="0.4">
      <c r="B73" s="7"/>
    </row>
    <row r="74" spans="2:4" x14ac:dyDescent="0.4">
      <c r="B74" s="7"/>
    </row>
    <row r="75" spans="2:4" x14ac:dyDescent="0.4">
      <c r="B75" s="7"/>
    </row>
    <row r="76" spans="2:4" x14ac:dyDescent="0.4">
      <c r="B76" s="7"/>
    </row>
    <row r="77" spans="2:4" x14ac:dyDescent="0.4">
      <c r="B77" s="7"/>
    </row>
    <row r="78" spans="2:4" x14ac:dyDescent="0.4">
      <c r="B78" s="7"/>
      <c r="C78" t="s">
        <v>757</v>
      </c>
      <c r="D78" t="s">
        <v>758</v>
      </c>
    </row>
    <row r="79" spans="2:4" x14ac:dyDescent="0.4">
      <c r="B79" s="7"/>
      <c r="C79">
        <v>5</v>
      </c>
      <c r="D79">
        <v>25</v>
      </c>
    </row>
    <row r="80" spans="2:4" x14ac:dyDescent="0.4">
      <c r="B80" s="7"/>
      <c r="C80">
        <v>10</v>
      </c>
      <c r="D80">
        <v>20</v>
      </c>
    </row>
    <row r="81" spans="2:4" x14ac:dyDescent="0.4">
      <c r="B81" s="7"/>
      <c r="C81">
        <v>15</v>
      </c>
      <c r="D81">
        <v>15</v>
      </c>
    </row>
    <row r="82" spans="2:4" x14ac:dyDescent="0.4">
      <c r="B82" s="7"/>
      <c r="C82">
        <v>20</v>
      </c>
      <c r="D82">
        <v>10</v>
      </c>
    </row>
    <row r="83" spans="2:4" x14ac:dyDescent="0.4">
      <c r="B83" s="7"/>
    </row>
    <row r="84" spans="2:4" x14ac:dyDescent="0.4">
      <c r="B84" s="7"/>
    </row>
    <row r="85" spans="2:4" x14ac:dyDescent="0.4">
      <c r="B85" s="7"/>
      <c r="C85" s="17" t="s">
        <v>760</v>
      </c>
    </row>
    <row r="86" spans="2:4" x14ac:dyDescent="0.4">
      <c r="B86" s="7"/>
    </row>
    <row r="87" spans="2:4" x14ac:dyDescent="0.4">
      <c r="B87" s="7"/>
    </row>
    <row r="88" spans="2:4" x14ac:dyDescent="0.4">
      <c r="B88" s="7"/>
    </row>
    <row r="89" spans="2:4" x14ac:dyDescent="0.4">
      <c r="B89" s="7"/>
    </row>
    <row r="90" spans="2:4" x14ac:dyDescent="0.4">
      <c r="B90" s="7"/>
    </row>
    <row r="91" spans="2:4" x14ac:dyDescent="0.4">
      <c r="B91" s="7"/>
    </row>
    <row r="92" spans="2:4" x14ac:dyDescent="0.4">
      <c r="B92" s="7"/>
    </row>
    <row r="93" spans="2:4" x14ac:dyDescent="0.4">
      <c r="B93" s="7"/>
    </row>
    <row r="94" spans="2:4" x14ac:dyDescent="0.4">
      <c r="B94" s="7"/>
    </row>
    <row r="95" spans="2:4" x14ac:dyDescent="0.4">
      <c r="B95" s="7"/>
    </row>
    <row r="96" spans="2:4" x14ac:dyDescent="0.4">
      <c r="B96" s="7"/>
    </row>
    <row r="97" spans="2:2" x14ac:dyDescent="0.4">
      <c r="B97" s="7"/>
    </row>
    <row r="98" spans="2:2" x14ac:dyDescent="0.4">
      <c r="B98" s="7"/>
    </row>
    <row r="99" spans="2:2" x14ac:dyDescent="0.4">
      <c r="B99" s="7"/>
    </row>
    <row r="100" spans="2:2" x14ac:dyDescent="0.4">
      <c r="B100" s="7"/>
    </row>
    <row r="101" spans="2:2" x14ac:dyDescent="0.4">
      <c r="B101" s="7"/>
    </row>
    <row r="102" spans="2:2" x14ac:dyDescent="0.4">
      <c r="B102" s="7"/>
    </row>
    <row r="103" spans="2:2" x14ac:dyDescent="0.4">
      <c r="B103" s="7"/>
    </row>
    <row r="104" spans="2:2" x14ac:dyDescent="0.4">
      <c r="B104" s="7"/>
    </row>
    <row r="105" spans="2:2" x14ac:dyDescent="0.4">
      <c r="B105" s="7"/>
    </row>
    <row r="106" spans="2:2" x14ac:dyDescent="0.4">
      <c r="B106" s="7"/>
    </row>
    <row r="107" spans="2:2" x14ac:dyDescent="0.4">
      <c r="B107" s="7"/>
    </row>
    <row r="108" spans="2:2" x14ac:dyDescent="0.4">
      <c r="B108" s="7"/>
    </row>
    <row r="109" spans="2:2" x14ac:dyDescent="0.4">
      <c r="B109" s="7"/>
    </row>
    <row r="110" spans="2:2" x14ac:dyDescent="0.4">
      <c r="B110" s="7"/>
    </row>
    <row r="111" spans="2:2" x14ac:dyDescent="0.4">
      <c r="B111" s="7"/>
    </row>
    <row r="112" spans="2:2" x14ac:dyDescent="0.4">
      <c r="B112" s="7"/>
    </row>
    <row r="113" spans="2:2" x14ac:dyDescent="0.4">
      <c r="B113" s="7"/>
    </row>
    <row r="114" spans="2:2" x14ac:dyDescent="0.4">
      <c r="B114" s="7"/>
    </row>
    <row r="115" spans="2:2" x14ac:dyDescent="0.4">
      <c r="B115" s="7"/>
    </row>
    <row r="116" spans="2:2" x14ac:dyDescent="0.4">
      <c r="B116" s="7"/>
    </row>
    <row r="117" spans="2:2" x14ac:dyDescent="0.4">
      <c r="B117" s="7"/>
    </row>
    <row r="118" spans="2:2" x14ac:dyDescent="0.4">
      <c r="B118" s="7"/>
    </row>
    <row r="119" spans="2:2" x14ac:dyDescent="0.4">
      <c r="B119" s="7"/>
    </row>
    <row r="120" spans="2:2" x14ac:dyDescent="0.4">
      <c r="B120" s="7"/>
    </row>
    <row r="121" spans="2:2" x14ac:dyDescent="0.4">
      <c r="B121" s="7"/>
    </row>
    <row r="122" spans="2:2" x14ac:dyDescent="0.4">
      <c r="B122" s="7"/>
    </row>
    <row r="123" spans="2:2" x14ac:dyDescent="0.4">
      <c r="B123" s="7"/>
    </row>
    <row r="124" spans="2:2" x14ac:dyDescent="0.4">
      <c r="B124" s="7"/>
    </row>
    <row r="125" spans="2:2" x14ac:dyDescent="0.4">
      <c r="B125" s="7"/>
    </row>
    <row r="126" spans="2:2" x14ac:dyDescent="0.4">
      <c r="B126" s="7"/>
    </row>
    <row r="127" spans="2:2" x14ac:dyDescent="0.4">
      <c r="B127" s="7"/>
    </row>
    <row r="128" spans="2:2" x14ac:dyDescent="0.4">
      <c r="B128" s="7"/>
    </row>
    <row r="129" spans="2:2" x14ac:dyDescent="0.4">
      <c r="B129" s="7"/>
    </row>
    <row r="130" spans="2:2" x14ac:dyDescent="0.4">
      <c r="B130" s="7"/>
    </row>
    <row r="131" spans="2:2" x14ac:dyDescent="0.4">
      <c r="B131" s="7"/>
    </row>
    <row r="132" spans="2:2" x14ac:dyDescent="0.4">
      <c r="B132" s="7"/>
    </row>
    <row r="133" spans="2:2" x14ac:dyDescent="0.4">
      <c r="B133" s="7"/>
    </row>
    <row r="134" spans="2:2" x14ac:dyDescent="0.4">
      <c r="B134" s="7"/>
    </row>
    <row r="135" spans="2:2" x14ac:dyDescent="0.4">
      <c r="B135" s="7"/>
    </row>
    <row r="136" spans="2:2" x14ac:dyDescent="0.4">
      <c r="B136" s="7"/>
    </row>
    <row r="137" spans="2:2" x14ac:dyDescent="0.4">
      <c r="B137" s="7"/>
    </row>
    <row r="138" spans="2:2" x14ac:dyDescent="0.4">
      <c r="B138" s="7"/>
    </row>
    <row r="139" spans="2:2" x14ac:dyDescent="0.4">
      <c r="B139" s="7"/>
    </row>
    <row r="140" spans="2:2" x14ac:dyDescent="0.4">
      <c r="B140" s="7"/>
    </row>
    <row r="141" spans="2:2" x14ac:dyDescent="0.4">
      <c r="B141" s="7"/>
    </row>
    <row r="142" spans="2:2" x14ac:dyDescent="0.4">
      <c r="B142" s="7"/>
    </row>
    <row r="143" spans="2:2" x14ac:dyDescent="0.4">
      <c r="B143" s="7"/>
    </row>
    <row r="144" spans="2:2" x14ac:dyDescent="0.4">
      <c r="B144" s="7"/>
    </row>
    <row r="145" spans="2:2" x14ac:dyDescent="0.4">
      <c r="B145" s="7"/>
    </row>
    <row r="146" spans="2:2" x14ac:dyDescent="0.4">
      <c r="B146" s="7"/>
    </row>
    <row r="147" spans="2:2" x14ac:dyDescent="0.4">
      <c r="B147" s="7"/>
    </row>
    <row r="148" spans="2:2" x14ac:dyDescent="0.4">
      <c r="B148" s="7"/>
    </row>
    <row r="149" spans="2:2" x14ac:dyDescent="0.4">
      <c r="B149" s="7"/>
    </row>
    <row r="150" spans="2:2" x14ac:dyDescent="0.4">
      <c r="B150" s="7"/>
    </row>
    <row r="151" spans="2:2" x14ac:dyDescent="0.4">
      <c r="B151" s="7"/>
    </row>
    <row r="152" spans="2:2" x14ac:dyDescent="0.4">
      <c r="B152" s="7"/>
    </row>
    <row r="153" spans="2:2" x14ac:dyDescent="0.4">
      <c r="B153" s="7"/>
    </row>
    <row r="154" spans="2:2" x14ac:dyDescent="0.4">
      <c r="B154" s="7"/>
    </row>
    <row r="155" spans="2:2" x14ac:dyDescent="0.4">
      <c r="B155" s="7"/>
    </row>
    <row r="156" spans="2:2" x14ac:dyDescent="0.4">
      <c r="B156" s="7"/>
    </row>
    <row r="157" spans="2:2" x14ac:dyDescent="0.4">
      <c r="B157" s="7"/>
    </row>
    <row r="158" spans="2:2" x14ac:dyDescent="0.4">
      <c r="B158" s="7"/>
    </row>
    <row r="159" spans="2:2" x14ac:dyDescent="0.4">
      <c r="B159" s="7"/>
    </row>
    <row r="160" spans="2:2" x14ac:dyDescent="0.4">
      <c r="B160" s="7"/>
    </row>
    <row r="161" spans="2:2" x14ac:dyDescent="0.4">
      <c r="B161" s="7"/>
    </row>
    <row r="162" spans="2:2" x14ac:dyDescent="0.4">
      <c r="B162" s="7"/>
    </row>
    <row r="163" spans="2:2" x14ac:dyDescent="0.4">
      <c r="B163" s="7"/>
    </row>
    <row r="164" spans="2:2" x14ac:dyDescent="0.4">
      <c r="B164" s="7"/>
    </row>
    <row r="165" spans="2:2" x14ac:dyDescent="0.4">
      <c r="B165" s="7"/>
    </row>
    <row r="166" spans="2:2" x14ac:dyDescent="0.4">
      <c r="B166" s="7"/>
    </row>
    <row r="167" spans="2:2" x14ac:dyDescent="0.4">
      <c r="B167" s="7"/>
    </row>
    <row r="168" spans="2:2" x14ac:dyDescent="0.4">
      <c r="B168" s="7"/>
    </row>
    <row r="169" spans="2:2" x14ac:dyDescent="0.4">
      <c r="B169" s="7"/>
    </row>
    <row r="170" spans="2:2" x14ac:dyDescent="0.4">
      <c r="B170" s="7"/>
    </row>
    <row r="171" spans="2:2" x14ac:dyDescent="0.4">
      <c r="B171" s="7"/>
    </row>
    <row r="172" spans="2:2" x14ac:dyDescent="0.4">
      <c r="B172" s="7"/>
    </row>
    <row r="173" spans="2:2" x14ac:dyDescent="0.4">
      <c r="B173" s="7"/>
    </row>
    <row r="174" spans="2:2" x14ac:dyDescent="0.4">
      <c r="B174" s="7"/>
    </row>
    <row r="175" spans="2:2" x14ac:dyDescent="0.4">
      <c r="B175" s="7"/>
    </row>
    <row r="176" spans="2:2" x14ac:dyDescent="0.4">
      <c r="B176" s="7"/>
    </row>
    <row r="177" spans="2:2" x14ac:dyDescent="0.4">
      <c r="B177" s="7"/>
    </row>
    <row r="178" spans="2:2" x14ac:dyDescent="0.4">
      <c r="B178" s="7"/>
    </row>
    <row r="179" spans="2:2" x14ac:dyDescent="0.4">
      <c r="B179" s="7"/>
    </row>
    <row r="180" spans="2:2" x14ac:dyDescent="0.4">
      <c r="B180" s="7"/>
    </row>
    <row r="181" spans="2:2" x14ac:dyDescent="0.4">
      <c r="B181" s="7"/>
    </row>
    <row r="182" spans="2:2" x14ac:dyDescent="0.4">
      <c r="B182" s="7"/>
    </row>
    <row r="183" spans="2:2" x14ac:dyDescent="0.4">
      <c r="B183" s="7"/>
    </row>
    <row r="184" spans="2:2" x14ac:dyDescent="0.4">
      <c r="B184" s="7"/>
    </row>
    <row r="185" spans="2:2" x14ac:dyDescent="0.4">
      <c r="B185" s="7"/>
    </row>
    <row r="186" spans="2:2" x14ac:dyDescent="0.4">
      <c r="B186" s="7"/>
    </row>
    <row r="187" spans="2:2" x14ac:dyDescent="0.4">
      <c r="B187" s="7"/>
    </row>
    <row r="188" spans="2:2" x14ac:dyDescent="0.4">
      <c r="B188" s="7"/>
    </row>
    <row r="189" spans="2:2" x14ac:dyDescent="0.4">
      <c r="B189" s="7"/>
    </row>
    <row r="190" spans="2:2" x14ac:dyDescent="0.4">
      <c r="B190" s="7"/>
    </row>
    <row r="191" spans="2:2" x14ac:dyDescent="0.4">
      <c r="B191" s="7"/>
    </row>
    <row r="192" spans="2:2" x14ac:dyDescent="0.4">
      <c r="B192" s="7"/>
    </row>
    <row r="193" spans="2:2" x14ac:dyDescent="0.4">
      <c r="B193" s="7"/>
    </row>
    <row r="194" spans="2:2" x14ac:dyDescent="0.4">
      <c r="B194" s="7"/>
    </row>
    <row r="195" spans="2:2" x14ac:dyDescent="0.4">
      <c r="B195" s="7"/>
    </row>
    <row r="196" spans="2:2" x14ac:dyDescent="0.4">
      <c r="B196" s="7"/>
    </row>
    <row r="197" spans="2:2" x14ac:dyDescent="0.4">
      <c r="B197" s="7"/>
    </row>
    <row r="198" spans="2:2" x14ac:dyDescent="0.4">
      <c r="B198" s="7"/>
    </row>
    <row r="199" spans="2:2" x14ac:dyDescent="0.4">
      <c r="B199" s="7"/>
    </row>
    <row r="200" spans="2:2" x14ac:dyDescent="0.4">
      <c r="B200" s="7"/>
    </row>
    <row r="201" spans="2:2" x14ac:dyDescent="0.4">
      <c r="B201" s="7"/>
    </row>
    <row r="202" spans="2:2" x14ac:dyDescent="0.4">
      <c r="B202" s="7"/>
    </row>
    <row r="203" spans="2:2" x14ac:dyDescent="0.4">
      <c r="B203" s="7"/>
    </row>
    <row r="204" spans="2:2" x14ac:dyDescent="0.4">
      <c r="B204" s="7"/>
    </row>
    <row r="205" spans="2:2" x14ac:dyDescent="0.4">
      <c r="B205" s="7"/>
    </row>
    <row r="206" spans="2:2" x14ac:dyDescent="0.4">
      <c r="B206" s="7"/>
    </row>
    <row r="207" spans="2:2" x14ac:dyDescent="0.4">
      <c r="B207" s="7"/>
    </row>
    <row r="208" spans="2:2" x14ac:dyDescent="0.4">
      <c r="B208" s="7"/>
    </row>
    <row r="209" spans="2:2" x14ac:dyDescent="0.4">
      <c r="B209" s="7"/>
    </row>
    <row r="210" spans="2:2" x14ac:dyDescent="0.4">
      <c r="B210" s="7"/>
    </row>
    <row r="211" spans="2:2" x14ac:dyDescent="0.4">
      <c r="B211" s="7"/>
    </row>
    <row r="212" spans="2:2" x14ac:dyDescent="0.4">
      <c r="B212" s="7"/>
    </row>
    <row r="213" spans="2:2" x14ac:dyDescent="0.4">
      <c r="B213" s="7"/>
    </row>
    <row r="214" spans="2:2" x14ac:dyDescent="0.4">
      <c r="B214" s="7"/>
    </row>
    <row r="215" spans="2:2" x14ac:dyDescent="0.4">
      <c r="B215" s="7"/>
    </row>
    <row r="216" spans="2:2" x14ac:dyDescent="0.4">
      <c r="B216" s="7"/>
    </row>
    <row r="217" spans="2:2" x14ac:dyDescent="0.4">
      <c r="B217" s="7"/>
    </row>
    <row r="218" spans="2:2" x14ac:dyDescent="0.4">
      <c r="B218" s="7"/>
    </row>
    <row r="219" spans="2:2" x14ac:dyDescent="0.4">
      <c r="B219" s="7"/>
    </row>
    <row r="220" spans="2:2" x14ac:dyDescent="0.4">
      <c r="B220" s="7"/>
    </row>
    <row r="221" spans="2:2" x14ac:dyDescent="0.4">
      <c r="B221" s="7"/>
    </row>
    <row r="222" spans="2:2" x14ac:dyDescent="0.4">
      <c r="B222" s="7"/>
    </row>
    <row r="223" spans="2:2" x14ac:dyDescent="0.4">
      <c r="B223" s="7"/>
    </row>
    <row r="224" spans="2:2" x14ac:dyDescent="0.4">
      <c r="B224" s="7"/>
    </row>
    <row r="225" spans="2:2" x14ac:dyDescent="0.4">
      <c r="B225" s="7"/>
    </row>
    <row r="226" spans="2:2" x14ac:dyDescent="0.4">
      <c r="B226" s="7"/>
    </row>
    <row r="227" spans="2:2" x14ac:dyDescent="0.4">
      <c r="B227" s="7"/>
    </row>
    <row r="228" spans="2:2" x14ac:dyDescent="0.4">
      <c r="B228" s="7"/>
    </row>
    <row r="229" spans="2:2" x14ac:dyDescent="0.4">
      <c r="B229" s="7"/>
    </row>
    <row r="230" spans="2:2" x14ac:dyDescent="0.4">
      <c r="B230" s="7"/>
    </row>
    <row r="231" spans="2:2" x14ac:dyDescent="0.4">
      <c r="B231" s="7"/>
    </row>
    <row r="232" spans="2:2" x14ac:dyDescent="0.4">
      <c r="B232" s="7"/>
    </row>
    <row r="233" spans="2:2" x14ac:dyDescent="0.4">
      <c r="B233" s="7"/>
    </row>
    <row r="234" spans="2:2" x14ac:dyDescent="0.4">
      <c r="B234" s="7"/>
    </row>
    <row r="235" spans="2:2" x14ac:dyDescent="0.4">
      <c r="B235" s="7"/>
    </row>
    <row r="236" spans="2:2" x14ac:dyDescent="0.4">
      <c r="B236" s="7"/>
    </row>
    <row r="237" spans="2:2" x14ac:dyDescent="0.4">
      <c r="B237" s="7"/>
    </row>
    <row r="238" spans="2:2" x14ac:dyDescent="0.4">
      <c r="B238" s="7"/>
    </row>
    <row r="239" spans="2:2" x14ac:dyDescent="0.4">
      <c r="B239" s="7"/>
    </row>
    <row r="240" spans="2:2" x14ac:dyDescent="0.4">
      <c r="B240" s="7"/>
    </row>
    <row r="241" spans="2:2" x14ac:dyDescent="0.4">
      <c r="B241" s="7"/>
    </row>
    <row r="242" spans="2:2" x14ac:dyDescent="0.4">
      <c r="B242" s="7"/>
    </row>
    <row r="243" spans="2:2" x14ac:dyDescent="0.4">
      <c r="B243" s="7"/>
    </row>
    <row r="244" spans="2:2" x14ac:dyDescent="0.4">
      <c r="B244" s="7"/>
    </row>
    <row r="245" spans="2:2" x14ac:dyDescent="0.4">
      <c r="B245" s="7"/>
    </row>
    <row r="246" spans="2:2" x14ac:dyDescent="0.4">
      <c r="B246" s="7"/>
    </row>
    <row r="247" spans="2:2" x14ac:dyDescent="0.4">
      <c r="B247" s="7"/>
    </row>
    <row r="248" spans="2:2" x14ac:dyDescent="0.4">
      <c r="B248" s="7"/>
    </row>
    <row r="249" spans="2:2" x14ac:dyDescent="0.4">
      <c r="B249" s="7"/>
    </row>
    <row r="250" spans="2:2" x14ac:dyDescent="0.4">
      <c r="B250" s="7"/>
    </row>
    <row r="251" spans="2:2" x14ac:dyDescent="0.4">
      <c r="B251" s="7"/>
    </row>
    <row r="252" spans="2:2" x14ac:dyDescent="0.4">
      <c r="B252" s="7"/>
    </row>
    <row r="253" spans="2:2" x14ac:dyDescent="0.4">
      <c r="B253" s="7"/>
    </row>
    <row r="254" spans="2:2" x14ac:dyDescent="0.4">
      <c r="B254" s="7"/>
    </row>
    <row r="255" spans="2:2" x14ac:dyDescent="0.4">
      <c r="B255" s="7"/>
    </row>
    <row r="256" spans="2:2" x14ac:dyDescent="0.4">
      <c r="B256" s="7"/>
    </row>
    <row r="257" spans="2:2" x14ac:dyDescent="0.4">
      <c r="B257" s="7"/>
    </row>
    <row r="258" spans="2:2" x14ac:dyDescent="0.4">
      <c r="B258" s="7"/>
    </row>
    <row r="259" spans="2:2" x14ac:dyDescent="0.4">
      <c r="B259" s="7"/>
    </row>
    <row r="260" spans="2:2" x14ac:dyDescent="0.4">
      <c r="B260" s="7"/>
    </row>
    <row r="261" spans="2:2" x14ac:dyDescent="0.4">
      <c r="B261" s="7"/>
    </row>
    <row r="262" spans="2:2" x14ac:dyDescent="0.4">
      <c r="B262" s="7"/>
    </row>
    <row r="263" spans="2:2" x14ac:dyDescent="0.4">
      <c r="B263" s="7"/>
    </row>
    <row r="264" spans="2:2" x14ac:dyDescent="0.4">
      <c r="B264" s="7"/>
    </row>
    <row r="265" spans="2:2" x14ac:dyDescent="0.4">
      <c r="B265" s="7"/>
    </row>
    <row r="266" spans="2:2" x14ac:dyDescent="0.4">
      <c r="B266" s="7"/>
    </row>
    <row r="267" spans="2:2" x14ac:dyDescent="0.4">
      <c r="B267" s="7"/>
    </row>
    <row r="268" spans="2:2" x14ac:dyDescent="0.4">
      <c r="B268" s="7"/>
    </row>
    <row r="269" spans="2:2" x14ac:dyDescent="0.4">
      <c r="B269" s="7"/>
    </row>
    <row r="270" spans="2:2" x14ac:dyDescent="0.4">
      <c r="B270" s="7"/>
    </row>
    <row r="271" spans="2:2" x14ac:dyDescent="0.4">
      <c r="B271" s="7"/>
    </row>
    <row r="272" spans="2:2" x14ac:dyDescent="0.4">
      <c r="B272" s="7"/>
    </row>
    <row r="273" spans="2:2" x14ac:dyDescent="0.4">
      <c r="B273" s="7"/>
    </row>
    <row r="274" spans="2:2" x14ac:dyDescent="0.4">
      <c r="B274" s="7"/>
    </row>
    <row r="275" spans="2:2" x14ac:dyDescent="0.4">
      <c r="B275" s="7"/>
    </row>
    <row r="276" spans="2:2" x14ac:dyDescent="0.4">
      <c r="B276" s="7"/>
    </row>
    <row r="277" spans="2:2" x14ac:dyDescent="0.4">
      <c r="B277" s="7"/>
    </row>
    <row r="278" spans="2:2" x14ac:dyDescent="0.4">
      <c r="B278" s="7"/>
    </row>
    <row r="279" spans="2:2" x14ac:dyDescent="0.4">
      <c r="B279" s="7"/>
    </row>
    <row r="280" spans="2:2" x14ac:dyDescent="0.4">
      <c r="B280" s="7"/>
    </row>
    <row r="281" spans="2:2" x14ac:dyDescent="0.4">
      <c r="B281" s="7"/>
    </row>
    <row r="282" spans="2:2" x14ac:dyDescent="0.4">
      <c r="B282" s="7"/>
    </row>
    <row r="283" spans="2:2" x14ac:dyDescent="0.4">
      <c r="B283" s="7"/>
    </row>
    <row r="284" spans="2:2" x14ac:dyDescent="0.4">
      <c r="B284" s="7"/>
    </row>
    <row r="285" spans="2:2" x14ac:dyDescent="0.4">
      <c r="B285" s="7"/>
    </row>
    <row r="286" spans="2:2" x14ac:dyDescent="0.4">
      <c r="B286" s="7"/>
    </row>
    <row r="287" spans="2:2" x14ac:dyDescent="0.4">
      <c r="B287" s="7"/>
    </row>
    <row r="288" spans="2:2" x14ac:dyDescent="0.4">
      <c r="B288" s="7"/>
    </row>
    <row r="289" spans="2:2" x14ac:dyDescent="0.4">
      <c r="B289" s="7"/>
    </row>
    <row r="290" spans="2:2" x14ac:dyDescent="0.4">
      <c r="B290" s="7"/>
    </row>
    <row r="291" spans="2:2" x14ac:dyDescent="0.4">
      <c r="B291" s="7"/>
    </row>
    <row r="292" spans="2:2" x14ac:dyDescent="0.4">
      <c r="B292" s="7"/>
    </row>
    <row r="293" spans="2:2" x14ac:dyDescent="0.4">
      <c r="B293" s="7"/>
    </row>
    <row r="294" spans="2:2" x14ac:dyDescent="0.4">
      <c r="B294" s="7"/>
    </row>
    <row r="295" spans="2:2" x14ac:dyDescent="0.4">
      <c r="B295" s="7"/>
    </row>
    <row r="296" spans="2:2" x14ac:dyDescent="0.4">
      <c r="B296" s="7"/>
    </row>
    <row r="297" spans="2:2" x14ac:dyDescent="0.4">
      <c r="B297" s="7"/>
    </row>
    <row r="298" spans="2:2" x14ac:dyDescent="0.4">
      <c r="B298" s="7"/>
    </row>
    <row r="299" spans="2:2" x14ac:dyDescent="0.4">
      <c r="B299" s="7"/>
    </row>
    <row r="300" spans="2:2" x14ac:dyDescent="0.4">
      <c r="B300" s="7"/>
    </row>
    <row r="301" spans="2:2" x14ac:dyDescent="0.4">
      <c r="B301" s="7"/>
    </row>
    <row r="302" spans="2:2" x14ac:dyDescent="0.4">
      <c r="B302" s="7"/>
    </row>
    <row r="303" spans="2:2" x14ac:dyDescent="0.4">
      <c r="B303" s="7"/>
    </row>
    <row r="304" spans="2:2" x14ac:dyDescent="0.4">
      <c r="B304" s="7"/>
    </row>
    <row r="305" spans="2:2" x14ac:dyDescent="0.4">
      <c r="B305" s="7"/>
    </row>
    <row r="306" spans="2:2" x14ac:dyDescent="0.4">
      <c r="B306" s="7"/>
    </row>
    <row r="307" spans="2:2" x14ac:dyDescent="0.4">
      <c r="B307" s="7"/>
    </row>
    <row r="308" spans="2:2" x14ac:dyDescent="0.4">
      <c r="B308" s="7"/>
    </row>
    <row r="309" spans="2:2" x14ac:dyDescent="0.4">
      <c r="B309" s="7"/>
    </row>
    <row r="310" spans="2:2" x14ac:dyDescent="0.4">
      <c r="B310" s="7"/>
    </row>
    <row r="311" spans="2:2" x14ac:dyDescent="0.4">
      <c r="B311" s="7"/>
    </row>
    <row r="312" spans="2:2" x14ac:dyDescent="0.4">
      <c r="B312" s="7"/>
    </row>
    <row r="313" spans="2:2" x14ac:dyDescent="0.4">
      <c r="B313" s="7"/>
    </row>
    <row r="314" spans="2:2" x14ac:dyDescent="0.4">
      <c r="B314" s="7"/>
    </row>
    <row r="315" spans="2:2" x14ac:dyDescent="0.4">
      <c r="B315" s="7"/>
    </row>
    <row r="316" spans="2:2" x14ac:dyDescent="0.4">
      <c r="B316" s="7"/>
    </row>
    <row r="317" spans="2:2" x14ac:dyDescent="0.4">
      <c r="B317" s="7"/>
    </row>
    <row r="318" spans="2:2" x14ac:dyDescent="0.4">
      <c r="B318" s="7"/>
    </row>
    <row r="319" spans="2:2" x14ac:dyDescent="0.4">
      <c r="B319" s="7"/>
    </row>
    <row r="320" spans="2:2" x14ac:dyDescent="0.4">
      <c r="B320" s="7"/>
    </row>
    <row r="321" spans="2:2" x14ac:dyDescent="0.4">
      <c r="B321" s="7"/>
    </row>
    <row r="322" spans="2:2" x14ac:dyDescent="0.4">
      <c r="B322" s="7"/>
    </row>
    <row r="323" spans="2:2" x14ac:dyDescent="0.4">
      <c r="B323" s="7"/>
    </row>
    <row r="324" spans="2:2" x14ac:dyDescent="0.4">
      <c r="B324" s="7"/>
    </row>
    <row r="325" spans="2:2" x14ac:dyDescent="0.4">
      <c r="B325" s="7"/>
    </row>
    <row r="326" spans="2:2" x14ac:dyDescent="0.4">
      <c r="B326" s="7"/>
    </row>
    <row r="327" spans="2:2" x14ac:dyDescent="0.4">
      <c r="B327" s="7"/>
    </row>
    <row r="328" spans="2:2" x14ac:dyDescent="0.4">
      <c r="B328" s="7"/>
    </row>
    <row r="329" spans="2:2" x14ac:dyDescent="0.4">
      <c r="B329" s="7"/>
    </row>
    <row r="330" spans="2:2" x14ac:dyDescent="0.4">
      <c r="B330" s="7"/>
    </row>
    <row r="331" spans="2:2" x14ac:dyDescent="0.4">
      <c r="B331" s="7"/>
    </row>
    <row r="332" spans="2:2" x14ac:dyDescent="0.4">
      <c r="B332" s="7"/>
    </row>
    <row r="333" spans="2:2" x14ac:dyDescent="0.4">
      <c r="B333" s="7"/>
    </row>
    <row r="334" spans="2:2" x14ac:dyDescent="0.4">
      <c r="B334" s="7"/>
    </row>
    <row r="335" spans="2:2" x14ac:dyDescent="0.4">
      <c r="B335" s="7"/>
    </row>
    <row r="336" spans="2:2" x14ac:dyDescent="0.4">
      <c r="B336" s="7"/>
    </row>
    <row r="337" spans="2:2" x14ac:dyDescent="0.4">
      <c r="B337" s="7"/>
    </row>
    <row r="338" spans="2:2" x14ac:dyDescent="0.4">
      <c r="B338" s="7"/>
    </row>
    <row r="339" spans="2:2" x14ac:dyDescent="0.4">
      <c r="B339" s="7"/>
    </row>
    <row r="340" spans="2:2" x14ac:dyDescent="0.4">
      <c r="B340" s="7"/>
    </row>
    <row r="341" spans="2:2" x14ac:dyDescent="0.4">
      <c r="B341" s="7"/>
    </row>
    <row r="342" spans="2:2" x14ac:dyDescent="0.4">
      <c r="B342" s="7"/>
    </row>
    <row r="343" spans="2:2" x14ac:dyDescent="0.4">
      <c r="B343" s="7"/>
    </row>
    <row r="344" spans="2:2" x14ac:dyDescent="0.4">
      <c r="B344" s="7"/>
    </row>
    <row r="345" spans="2:2" x14ac:dyDescent="0.4">
      <c r="B345" s="7"/>
    </row>
    <row r="346" spans="2:2" x14ac:dyDescent="0.4">
      <c r="B346" s="7"/>
    </row>
    <row r="347" spans="2:2" x14ac:dyDescent="0.4">
      <c r="B347" s="7"/>
    </row>
    <row r="348" spans="2:2" x14ac:dyDescent="0.4">
      <c r="B348" s="7"/>
    </row>
    <row r="349" spans="2:2" x14ac:dyDescent="0.4">
      <c r="B349" s="7"/>
    </row>
    <row r="350" spans="2:2" x14ac:dyDescent="0.4">
      <c r="B350" s="7"/>
    </row>
    <row r="351" spans="2:2" x14ac:dyDescent="0.4">
      <c r="B351" s="7"/>
    </row>
    <row r="352" spans="2:2" x14ac:dyDescent="0.4">
      <c r="B352" s="7"/>
    </row>
    <row r="353" spans="2:2" x14ac:dyDescent="0.4">
      <c r="B353" s="7"/>
    </row>
    <row r="354" spans="2:2" x14ac:dyDescent="0.4">
      <c r="B354" s="7"/>
    </row>
    <row r="355" spans="2:2" x14ac:dyDescent="0.4">
      <c r="B355" s="7"/>
    </row>
    <row r="356" spans="2:2" x14ac:dyDescent="0.4">
      <c r="B356" s="7"/>
    </row>
    <row r="357" spans="2:2" x14ac:dyDescent="0.4">
      <c r="B357" s="7"/>
    </row>
    <row r="358" spans="2:2" x14ac:dyDescent="0.4">
      <c r="B358" s="7"/>
    </row>
    <row r="359" spans="2:2" x14ac:dyDescent="0.4">
      <c r="B359" s="7"/>
    </row>
    <row r="360" spans="2:2" x14ac:dyDescent="0.4">
      <c r="B360" s="7"/>
    </row>
    <row r="361" spans="2:2" x14ac:dyDescent="0.4">
      <c r="B361" s="7"/>
    </row>
    <row r="362" spans="2:2" x14ac:dyDescent="0.4">
      <c r="B362" s="7"/>
    </row>
    <row r="363" spans="2:2" x14ac:dyDescent="0.4">
      <c r="B363" s="7"/>
    </row>
    <row r="364" spans="2:2" x14ac:dyDescent="0.4">
      <c r="B364" s="7"/>
    </row>
    <row r="365" spans="2:2" x14ac:dyDescent="0.4">
      <c r="B365" s="7"/>
    </row>
    <row r="366" spans="2:2" x14ac:dyDescent="0.4">
      <c r="B366" s="7"/>
    </row>
    <row r="367" spans="2:2" x14ac:dyDescent="0.4">
      <c r="B367" s="7"/>
    </row>
    <row r="368" spans="2:2" x14ac:dyDescent="0.4">
      <c r="B368" s="7"/>
    </row>
    <row r="369" spans="2:2" x14ac:dyDescent="0.4">
      <c r="B369" s="7"/>
    </row>
    <row r="370" spans="2:2" x14ac:dyDescent="0.4">
      <c r="B370" s="7"/>
    </row>
    <row r="371" spans="2:2" x14ac:dyDescent="0.4">
      <c r="B371" s="7"/>
    </row>
    <row r="372" spans="2:2" x14ac:dyDescent="0.4">
      <c r="B372" s="7"/>
    </row>
    <row r="373" spans="2:2" x14ac:dyDescent="0.4">
      <c r="B373" s="7"/>
    </row>
    <row r="374" spans="2:2" x14ac:dyDescent="0.4">
      <c r="B374" s="7"/>
    </row>
    <row r="375" spans="2:2" x14ac:dyDescent="0.4">
      <c r="B375" s="7"/>
    </row>
    <row r="376" spans="2:2" x14ac:dyDescent="0.4">
      <c r="B376" s="7"/>
    </row>
    <row r="377" spans="2:2" x14ac:dyDescent="0.4">
      <c r="B377" s="7"/>
    </row>
    <row r="378" spans="2:2" x14ac:dyDescent="0.4">
      <c r="B378" s="7"/>
    </row>
    <row r="379" spans="2:2" x14ac:dyDescent="0.4">
      <c r="B379" s="7"/>
    </row>
    <row r="380" spans="2:2" x14ac:dyDescent="0.4">
      <c r="B380" s="7"/>
    </row>
    <row r="381" spans="2:2" x14ac:dyDescent="0.4">
      <c r="B381" s="7"/>
    </row>
    <row r="382" spans="2:2" x14ac:dyDescent="0.4">
      <c r="B382" s="7"/>
    </row>
    <row r="383" spans="2:2" x14ac:dyDescent="0.4">
      <c r="B383" s="7"/>
    </row>
    <row r="384" spans="2:2" x14ac:dyDescent="0.4">
      <c r="B384" s="7"/>
    </row>
    <row r="385" spans="2:2" x14ac:dyDescent="0.4">
      <c r="B385" s="7"/>
    </row>
    <row r="386" spans="2:2" x14ac:dyDescent="0.4">
      <c r="B386" s="7"/>
    </row>
    <row r="387" spans="2:2" x14ac:dyDescent="0.4">
      <c r="B387" s="7"/>
    </row>
    <row r="388" spans="2:2" x14ac:dyDescent="0.4">
      <c r="B388" s="7"/>
    </row>
    <row r="389" spans="2:2" x14ac:dyDescent="0.4">
      <c r="B389" s="7"/>
    </row>
    <row r="390" spans="2:2" x14ac:dyDescent="0.4">
      <c r="B390" s="7"/>
    </row>
    <row r="391" spans="2:2" x14ac:dyDescent="0.4">
      <c r="B391" s="7"/>
    </row>
    <row r="392" spans="2:2" x14ac:dyDescent="0.4">
      <c r="B392" s="7"/>
    </row>
    <row r="393" spans="2:2" x14ac:dyDescent="0.4">
      <c r="B393" s="7"/>
    </row>
    <row r="394" spans="2:2" x14ac:dyDescent="0.4">
      <c r="B394" s="7"/>
    </row>
    <row r="395" spans="2:2" x14ac:dyDescent="0.4">
      <c r="B395" s="7"/>
    </row>
    <row r="396" spans="2:2" x14ac:dyDescent="0.4">
      <c r="B396" s="7"/>
    </row>
    <row r="397" spans="2:2" x14ac:dyDescent="0.4">
      <c r="B397" s="7"/>
    </row>
    <row r="398" spans="2:2" x14ac:dyDescent="0.4">
      <c r="B398" s="7"/>
    </row>
    <row r="399" spans="2:2" x14ac:dyDescent="0.4">
      <c r="B399" s="7"/>
    </row>
    <row r="400" spans="2:2" x14ac:dyDescent="0.4">
      <c r="B400" s="7"/>
    </row>
    <row r="401" spans="2:2" x14ac:dyDescent="0.4">
      <c r="B401" s="7"/>
    </row>
    <row r="402" spans="2:2" x14ac:dyDescent="0.4">
      <c r="B402" s="7"/>
    </row>
    <row r="403" spans="2:2" x14ac:dyDescent="0.4">
      <c r="B403" s="7"/>
    </row>
    <row r="404" spans="2:2" x14ac:dyDescent="0.4">
      <c r="B404" s="7"/>
    </row>
    <row r="405" spans="2:2" x14ac:dyDescent="0.4">
      <c r="B405" s="7"/>
    </row>
    <row r="406" spans="2:2" x14ac:dyDescent="0.4">
      <c r="B406" s="7"/>
    </row>
    <row r="407" spans="2:2" x14ac:dyDescent="0.4">
      <c r="B407" s="7"/>
    </row>
    <row r="408" spans="2:2" x14ac:dyDescent="0.4">
      <c r="B408" s="7"/>
    </row>
    <row r="409" spans="2:2" x14ac:dyDescent="0.4">
      <c r="B409" s="7"/>
    </row>
    <row r="410" spans="2:2" x14ac:dyDescent="0.4">
      <c r="B410" s="7"/>
    </row>
    <row r="411" spans="2:2" x14ac:dyDescent="0.4">
      <c r="B411" s="7"/>
    </row>
    <row r="412" spans="2:2" x14ac:dyDescent="0.4">
      <c r="B412" s="7"/>
    </row>
    <row r="413" spans="2:2" x14ac:dyDescent="0.4">
      <c r="B413" s="7"/>
    </row>
    <row r="414" spans="2:2" x14ac:dyDescent="0.4">
      <c r="B414" s="7"/>
    </row>
    <row r="415" spans="2:2" x14ac:dyDescent="0.4">
      <c r="B415" s="7"/>
    </row>
    <row r="416" spans="2:2" x14ac:dyDescent="0.4">
      <c r="B416" s="7"/>
    </row>
    <row r="417" spans="2:2" x14ac:dyDescent="0.4">
      <c r="B417" s="7"/>
    </row>
    <row r="418" spans="2:2" x14ac:dyDescent="0.4">
      <c r="B418" s="7"/>
    </row>
    <row r="419" spans="2:2" x14ac:dyDescent="0.4">
      <c r="B419" s="7"/>
    </row>
    <row r="420" spans="2:2" x14ac:dyDescent="0.4">
      <c r="B420" s="7"/>
    </row>
    <row r="421" spans="2:2" x14ac:dyDescent="0.4">
      <c r="B421" s="7"/>
    </row>
    <row r="422" spans="2:2" x14ac:dyDescent="0.4">
      <c r="B422" s="7"/>
    </row>
    <row r="423" spans="2:2" x14ac:dyDescent="0.4">
      <c r="B423" s="7"/>
    </row>
    <row r="424" spans="2:2" x14ac:dyDescent="0.4">
      <c r="B424" s="7"/>
    </row>
    <row r="425" spans="2:2" x14ac:dyDescent="0.4">
      <c r="B425" s="7"/>
    </row>
    <row r="426" spans="2:2" x14ac:dyDescent="0.4">
      <c r="B426" s="7"/>
    </row>
    <row r="427" spans="2:2" x14ac:dyDescent="0.4">
      <c r="B427" s="7"/>
    </row>
    <row r="428" spans="2:2" x14ac:dyDescent="0.4">
      <c r="B428" s="7"/>
    </row>
    <row r="429" spans="2:2" x14ac:dyDescent="0.4">
      <c r="B429" s="7"/>
    </row>
    <row r="430" spans="2:2" x14ac:dyDescent="0.4">
      <c r="B430" s="7"/>
    </row>
    <row r="431" spans="2:2" x14ac:dyDescent="0.4">
      <c r="B431" s="7"/>
    </row>
    <row r="432" spans="2:2" x14ac:dyDescent="0.4">
      <c r="B432" s="7"/>
    </row>
    <row r="433" spans="2:2" x14ac:dyDescent="0.4">
      <c r="B433" s="7"/>
    </row>
    <row r="434" spans="2:2" x14ac:dyDescent="0.4">
      <c r="B434" s="7"/>
    </row>
    <row r="435" spans="2:2" x14ac:dyDescent="0.4">
      <c r="B435" s="7"/>
    </row>
    <row r="436" spans="2:2" x14ac:dyDescent="0.4">
      <c r="B436" s="7"/>
    </row>
    <row r="437" spans="2:2" x14ac:dyDescent="0.4">
      <c r="B437" s="7"/>
    </row>
    <row r="438" spans="2:2" x14ac:dyDescent="0.4">
      <c r="B438" s="7"/>
    </row>
    <row r="439" spans="2:2" x14ac:dyDescent="0.4">
      <c r="B439" s="7"/>
    </row>
    <row r="440" spans="2:2" x14ac:dyDescent="0.4">
      <c r="B440" s="7"/>
    </row>
    <row r="441" spans="2:2" x14ac:dyDescent="0.4">
      <c r="B441" s="7"/>
    </row>
    <row r="442" spans="2:2" x14ac:dyDescent="0.4">
      <c r="B442" s="7"/>
    </row>
    <row r="443" spans="2:2" x14ac:dyDescent="0.4">
      <c r="B443" s="7"/>
    </row>
    <row r="444" spans="2:2" x14ac:dyDescent="0.4">
      <c r="B444" s="7"/>
    </row>
    <row r="445" spans="2:2" x14ac:dyDescent="0.4">
      <c r="B445" s="7"/>
    </row>
    <row r="446" spans="2:2" x14ac:dyDescent="0.4">
      <c r="B446" s="7"/>
    </row>
    <row r="447" spans="2:2" x14ac:dyDescent="0.4">
      <c r="B447" s="7"/>
    </row>
    <row r="448" spans="2:2" x14ac:dyDescent="0.4">
      <c r="B448" s="7"/>
    </row>
    <row r="449" spans="2:2" x14ac:dyDescent="0.4">
      <c r="B449" s="7"/>
    </row>
    <row r="450" spans="2:2" x14ac:dyDescent="0.4">
      <c r="B450" s="7"/>
    </row>
    <row r="451" spans="2:2" x14ac:dyDescent="0.4">
      <c r="B451" s="7"/>
    </row>
    <row r="452" spans="2:2" x14ac:dyDescent="0.4">
      <c r="B452" s="7"/>
    </row>
    <row r="453" spans="2:2" x14ac:dyDescent="0.4">
      <c r="B453" s="7"/>
    </row>
    <row r="454" spans="2:2" x14ac:dyDescent="0.4">
      <c r="B454" s="7"/>
    </row>
    <row r="455" spans="2:2" x14ac:dyDescent="0.4">
      <c r="B455" s="7"/>
    </row>
    <row r="456" spans="2:2" x14ac:dyDescent="0.4">
      <c r="B456" s="7"/>
    </row>
    <row r="457" spans="2:2" x14ac:dyDescent="0.4">
      <c r="B457" s="7"/>
    </row>
    <row r="458" spans="2:2" x14ac:dyDescent="0.4">
      <c r="B458" s="7"/>
    </row>
    <row r="459" spans="2:2" x14ac:dyDescent="0.4">
      <c r="B459" s="7"/>
    </row>
    <row r="460" spans="2:2" x14ac:dyDescent="0.4">
      <c r="B460" s="7"/>
    </row>
    <row r="461" spans="2:2" x14ac:dyDescent="0.4">
      <c r="B461" s="7"/>
    </row>
    <row r="462" spans="2:2" x14ac:dyDescent="0.4">
      <c r="B462" s="7"/>
    </row>
    <row r="463" spans="2:2" x14ac:dyDescent="0.4">
      <c r="B463" s="7"/>
    </row>
    <row r="464" spans="2:2" x14ac:dyDescent="0.4">
      <c r="B464" s="7"/>
    </row>
    <row r="465" spans="2:2" x14ac:dyDescent="0.4">
      <c r="B465" s="7"/>
    </row>
    <row r="466" spans="2:2" x14ac:dyDescent="0.4">
      <c r="B466" s="7"/>
    </row>
    <row r="467" spans="2:2" x14ac:dyDescent="0.4">
      <c r="B467" s="7"/>
    </row>
    <row r="468" spans="2:2" x14ac:dyDescent="0.4">
      <c r="B468" s="7"/>
    </row>
    <row r="469" spans="2:2" x14ac:dyDescent="0.4">
      <c r="B469" s="7"/>
    </row>
    <row r="470" spans="2:2" x14ac:dyDescent="0.4">
      <c r="B470" s="7"/>
    </row>
    <row r="471" spans="2:2" x14ac:dyDescent="0.4">
      <c r="B471" s="7"/>
    </row>
    <row r="472" spans="2:2" x14ac:dyDescent="0.4">
      <c r="B472" s="7"/>
    </row>
    <row r="473" spans="2:2" x14ac:dyDescent="0.4">
      <c r="B473" s="7"/>
    </row>
    <row r="474" spans="2:2" x14ac:dyDescent="0.4">
      <c r="B474" s="7"/>
    </row>
    <row r="475" spans="2:2" x14ac:dyDescent="0.4">
      <c r="B475" s="7"/>
    </row>
    <row r="476" spans="2:2" x14ac:dyDescent="0.4">
      <c r="B476" s="7"/>
    </row>
    <row r="477" spans="2:2" x14ac:dyDescent="0.4">
      <c r="B477" s="7"/>
    </row>
    <row r="478" spans="2:2" x14ac:dyDescent="0.4">
      <c r="B478" s="7"/>
    </row>
    <row r="479" spans="2:2" x14ac:dyDescent="0.4">
      <c r="B479" s="7"/>
    </row>
    <row r="480" spans="2:2" x14ac:dyDescent="0.4">
      <c r="B480" s="7"/>
    </row>
    <row r="481" spans="2:2" x14ac:dyDescent="0.4">
      <c r="B481" s="7"/>
    </row>
    <row r="482" spans="2:2" x14ac:dyDescent="0.4">
      <c r="B482" s="7"/>
    </row>
    <row r="483" spans="2:2" x14ac:dyDescent="0.4">
      <c r="B483" s="7"/>
    </row>
    <row r="484" spans="2:2" x14ac:dyDescent="0.4">
      <c r="B484" s="7"/>
    </row>
    <row r="485" spans="2:2" x14ac:dyDescent="0.4">
      <c r="B485" s="7"/>
    </row>
    <row r="486" spans="2:2" x14ac:dyDescent="0.4">
      <c r="B486" s="7"/>
    </row>
    <row r="487" spans="2:2" x14ac:dyDescent="0.4">
      <c r="B487" s="7"/>
    </row>
    <row r="488" spans="2:2" x14ac:dyDescent="0.4">
      <c r="B488" s="7"/>
    </row>
    <row r="489" spans="2:2" x14ac:dyDescent="0.4">
      <c r="B489" s="7"/>
    </row>
    <row r="490" spans="2:2" x14ac:dyDescent="0.4">
      <c r="B490" s="7"/>
    </row>
    <row r="491" spans="2:2" x14ac:dyDescent="0.4">
      <c r="B491" s="7"/>
    </row>
    <row r="492" spans="2:2" x14ac:dyDescent="0.4">
      <c r="B492" s="7"/>
    </row>
    <row r="493" spans="2:2" x14ac:dyDescent="0.4">
      <c r="B493" s="7"/>
    </row>
    <row r="494" spans="2:2" x14ac:dyDescent="0.4">
      <c r="B494" s="7"/>
    </row>
    <row r="495" spans="2:2" x14ac:dyDescent="0.4">
      <c r="B495" s="7"/>
    </row>
    <row r="496" spans="2:2" x14ac:dyDescent="0.4">
      <c r="B496" s="7"/>
    </row>
    <row r="497" spans="2:2" x14ac:dyDescent="0.4">
      <c r="B497" s="7"/>
    </row>
    <row r="498" spans="2:2" x14ac:dyDescent="0.4">
      <c r="B498" s="7"/>
    </row>
    <row r="499" spans="2:2" x14ac:dyDescent="0.4">
      <c r="B499" s="7"/>
    </row>
    <row r="500" spans="2:2" x14ac:dyDescent="0.4">
      <c r="B500" s="7"/>
    </row>
    <row r="501" spans="2:2" x14ac:dyDescent="0.4">
      <c r="B501" s="7"/>
    </row>
    <row r="502" spans="2:2" x14ac:dyDescent="0.4">
      <c r="B502" s="7"/>
    </row>
    <row r="503" spans="2:2" x14ac:dyDescent="0.4">
      <c r="B503" s="7"/>
    </row>
    <row r="504" spans="2:2" x14ac:dyDescent="0.4">
      <c r="B504" s="7"/>
    </row>
    <row r="505" spans="2:2" x14ac:dyDescent="0.4">
      <c r="B505" s="7"/>
    </row>
    <row r="506" spans="2:2" x14ac:dyDescent="0.4">
      <c r="B506" s="7"/>
    </row>
    <row r="507" spans="2:2" x14ac:dyDescent="0.4">
      <c r="B507" s="7"/>
    </row>
    <row r="508" spans="2:2" x14ac:dyDescent="0.4">
      <c r="B508" s="7"/>
    </row>
    <row r="509" spans="2:2" x14ac:dyDescent="0.4">
      <c r="B509" s="7"/>
    </row>
    <row r="510" spans="2:2" x14ac:dyDescent="0.4">
      <c r="B510" s="7"/>
    </row>
    <row r="511" spans="2:2" x14ac:dyDescent="0.4">
      <c r="B511" s="7"/>
    </row>
    <row r="512" spans="2:2" x14ac:dyDescent="0.4">
      <c r="B512" s="7"/>
    </row>
    <row r="513" spans="2:2" x14ac:dyDescent="0.4">
      <c r="B513" s="7"/>
    </row>
    <row r="514" spans="2:2" x14ac:dyDescent="0.4">
      <c r="B514" s="7"/>
    </row>
    <row r="515" spans="2:2" x14ac:dyDescent="0.4">
      <c r="B515" s="7"/>
    </row>
    <row r="516" spans="2:2" x14ac:dyDescent="0.4">
      <c r="B516" s="7"/>
    </row>
    <row r="517" spans="2:2" x14ac:dyDescent="0.4">
      <c r="B517" s="7"/>
    </row>
    <row r="518" spans="2:2" x14ac:dyDescent="0.4">
      <c r="B518" s="7"/>
    </row>
    <row r="519" spans="2:2" x14ac:dyDescent="0.4">
      <c r="B519" s="7"/>
    </row>
    <row r="520" spans="2:2" x14ac:dyDescent="0.4">
      <c r="B520" s="7"/>
    </row>
    <row r="521" spans="2:2" x14ac:dyDescent="0.4">
      <c r="B521" s="7"/>
    </row>
    <row r="522" spans="2:2" x14ac:dyDescent="0.4">
      <c r="B522" s="7"/>
    </row>
    <row r="523" spans="2:2" x14ac:dyDescent="0.4">
      <c r="B523" s="7"/>
    </row>
    <row r="524" spans="2:2" x14ac:dyDescent="0.4">
      <c r="B524" s="7"/>
    </row>
    <row r="525" spans="2:2" x14ac:dyDescent="0.4">
      <c r="B525" s="7"/>
    </row>
    <row r="526" spans="2:2" x14ac:dyDescent="0.4">
      <c r="B526" s="7"/>
    </row>
    <row r="527" spans="2:2" x14ac:dyDescent="0.4">
      <c r="B527" s="7"/>
    </row>
    <row r="528" spans="2:2" x14ac:dyDescent="0.4">
      <c r="B528" s="7"/>
    </row>
    <row r="529" spans="2:2" x14ac:dyDescent="0.4">
      <c r="B529" s="7"/>
    </row>
    <row r="530" spans="2:2" x14ac:dyDescent="0.4">
      <c r="B530" s="7"/>
    </row>
    <row r="531" spans="2:2" x14ac:dyDescent="0.4">
      <c r="B531" s="7"/>
    </row>
    <row r="532" spans="2:2" x14ac:dyDescent="0.4">
      <c r="B532" s="7"/>
    </row>
    <row r="533" spans="2:2" x14ac:dyDescent="0.4">
      <c r="B533" s="7"/>
    </row>
    <row r="534" spans="2:2" x14ac:dyDescent="0.4">
      <c r="B534" s="7"/>
    </row>
    <row r="535" spans="2:2" x14ac:dyDescent="0.4">
      <c r="B535" s="7"/>
    </row>
    <row r="536" spans="2:2" x14ac:dyDescent="0.4">
      <c r="B536" s="7"/>
    </row>
    <row r="537" spans="2:2" x14ac:dyDescent="0.4">
      <c r="B537" s="7"/>
    </row>
    <row r="538" spans="2:2" x14ac:dyDescent="0.4">
      <c r="B538" s="7"/>
    </row>
    <row r="539" spans="2:2" x14ac:dyDescent="0.4">
      <c r="B539" s="7"/>
    </row>
    <row r="540" spans="2:2" x14ac:dyDescent="0.4">
      <c r="B540" s="7"/>
    </row>
    <row r="541" spans="2:2" x14ac:dyDescent="0.4">
      <c r="B541" s="7"/>
    </row>
    <row r="542" spans="2:2" x14ac:dyDescent="0.4">
      <c r="B542" s="7"/>
    </row>
    <row r="543" spans="2:2" x14ac:dyDescent="0.4">
      <c r="B543" s="7"/>
    </row>
    <row r="544" spans="2:2" x14ac:dyDescent="0.4">
      <c r="B544" s="7"/>
    </row>
    <row r="545" spans="2:2" x14ac:dyDescent="0.4">
      <c r="B545" s="7"/>
    </row>
    <row r="546" spans="2:2" x14ac:dyDescent="0.4">
      <c r="B546" s="7"/>
    </row>
    <row r="547" spans="2:2" x14ac:dyDescent="0.4">
      <c r="B547" s="7"/>
    </row>
    <row r="548" spans="2:2" x14ac:dyDescent="0.4">
      <c r="B548" s="7"/>
    </row>
    <row r="549" spans="2:2" x14ac:dyDescent="0.4">
      <c r="B549" s="7"/>
    </row>
    <row r="550" spans="2:2" x14ac:dyDescent="0.4">
      <c r="B550" s="7"/>
    </row>
    <row r="551" spans="2:2" x14ac:dyDescent="0.4">
      <c r="B551" s="7"/>
    </row>
    <row r="552" spans="2:2" x14ac:dyDescent="0.4">
      <c r="B552" s="7"/>
    </row>
    <row r="553" spans="2:2" x14ac:dyDescent="0.4">
      <c r="B553" s="7"/>
    </row>
    <row r="554" spans="2:2" x14ac:dyDescent="0.4">
      <c r="B554" s="7"/>
    </row>
    <row r="555" spans="2:2" x14ac:dyDescent="0.4">
      <c r="B555" s="7"/>
    </row>
    <row r="556" spans="2:2" x14ac:dyDescent="0.4">
      <c r="B556" s="7"/>
    </row>
    <row r="557" spans="2:2" x14ac:dyDescent="0.4">
      <c r="B557" s="7"/>
    </row>
    <row r="558" spans="2:2" x14ac:dyDescent="0.4">
      <c r="B558" s="7"/>
    </row>
    <row r="559" spans="2:2" x14ac:dyDescent="0.4">
      <c r="B559" s="7"/>
    </row>
    <row r="560" spans="2:2" x14ac:dyDescent="0.4">
      <c r="B560" s="7"/>
    </row>
    <row r="561" spans="2:2" x14ac:dyDescent="0.4">
      <c r="B561" s="7"/>
    </row>
    <row r="562" spans="2:2" x14ac:dyDescent="0.4">
      <c r="B562" s="7"/>
    </row>
    <row r="563" spans="2:2" x14ac:dyDescent="0.4">
      <c r="B563" s="7"/>
    </row>
    <row r="564" spans="2:2" x14ac:dyDescent="0.4">
      <c r="B564" s="7"/>
    </row>
    <row r="565" spans="2:2" x14ac:dyDescent="0.4">
      <c r="B565" s="7"/>
    </row>
    <row r="566" spans="2:2" x14ac:dyDescent="0.4">
      <c r="B566" s="7"/>
    </row>
    <row r="567" spans="2:2" x14ac:dyDescent="0.4">
      <c r="B567" s="7"/>
    </row>
    <row r="568" spans="2:2" x14ac:dyDescent="0.4">
      <c r="B568" s="7"/>
    </row>
    <row r="569" spans="2:2" x14ac:dyDescent="0.4">
      <c r="B569" s="7"/>
    </row>
    <row r="570" spans="2:2" x14ac:dyDescent="0.4">
      <c r="B570" s="7"/>
    </row>
    <row r="571" spans="2:2" x14ac:dyDescent="0.4">
      <c r="B571" s="7"/>
    </row>
    <row r="572" spans="2:2" x14ac:dyDescent="0.4">
      <c r="B572" s="7"/>
    </row>
    <row r="573" spans="2:2" x14ac:dyDescent="0.4">
      <c r="B573" s="7"/>
    </row>
    <row r="574" spans="2:2" x14ac:dyDescent="0.4">
      <c r="B574" s="7"/>
    </row>
    <row r="575" spans="2:2" x14ac:dyDescent="0.4">
      <c r="B575" s="7"/>
    </row>
    <row r="576" spans="2:2" x14ac:dyDescent="0.4">
      <c r="B576" s="7"/>
    </row>
    <row r="577" spans="2:2" x14ac:dyDescent="0.4">
      <c r="B577" s="7"/>
    </row>
    <row r="578" spans="2:2" x14ac:dyDescent="0.4">
      <c r="B578" s="7"/>
    </row>
    <row r="579" spans="2:2" x14ac:dyDescent="0.4">
      <c r="B579" s="7"/>
    </row>
    <row r="580" spans="2:2" x14ac:dyDescent="0.4">
      <c r="B580" s="7"/>
    </row>
    <row r="581" spans="2:2" x14ac:dyDescent="0.4">
      <c r="B581" s="7"/>
    </row>
    <row r="582" spans="2:2" x14ac:dyDescent="0.4">
      <c r="B582" s="7"/>
    </row>
    <row r="583" spans="2:2" x14ac:dyDescent="0.4">
      <c r="B583" s="7"/>
    </row>
    <row r="584" spans="2:2" x14ac:dyDescent="0.4">
      <c r="B584" s="7"/>
    </row>
    <row r="585" spans="2:2" x14ac:dyDescent="0.4">
      <c r="B585" s="7"/>
    </row>
    <row r="586" spans="2:2" x14ac:dyDescent="0.4">
      <c r="B586" s="7"/>
    </row>
    <row r="587" spans="2:2" x14ac:dyDescent="0.4">
      <c r="B587" s="7"/>
    </row>
    <row r="588" spans="2:2" x14ac:dyDescent="0.4">
      <c r="B588" s="7"/>
    </row>
    <row r="589" spans="2:2" x14ac:dyDescent="0.4">
      <c r="B589" s="7"/>
    </row>
    <row r="590" spans="2:2" x14ac:dyDescent="0.4">
      <c r="B590" s="7"/>
    </row>
    <row r="591" spans="2:2" x14ac:dyDescent="0.4">
      <c r="B591" s="7"/>
    </row>
    <row r="592" spans="2:2" x14ac:dyDescent="0.4">
      <c r="B592" s="7"/>
    </row>
    <row r="593" spans="2:2" x14ac:dyDescent="0.4">
      <c r="B593" s="7"/>
    </row>
    <row r="594" spans="2:2" x14ac:dyDescent="0.4">
      <c r="B594" s="7"/>
    </row>
    <row r="595" spans="2:2" x14ac:dyDescent="0.4">
      <c r="B595" s="7"/>
    </row>
    <row r="596" spans="2:2" x14ac:dyDescent="0.4">
      <c r="B596" s="7"/>
    </row>
    <row r="597" spans="2:2" x14ac:dyDescent="0.4">
      <c r="B597" s="7"/>
    </row>
    <row r="598" spans="2:2" x14ac:dyDescent="0.4">
      <c r="B598" s="7"/>
    </row>
    <row r="599" spans="2:2" x14ac:dyDescent="0.4">
      <c r="B599" s="7"/>
    </row>
    <row r="600" spans="2:2" x14ac:dyDescent="0.4">
      <c r="B600" s="7"/>
    </row>
    <row r="601" spans="2:2" x14ac:dyDescent="0.4">
      <c r="B601" s="7"/>
    </row>
    <row r="602" spans="2:2" x14ac:dyDescent="0.4">
      <c r="B602" s="7"/>
    </row>
    <row r="603" spans="2:2" x14ac:dyDescent="0.4">
      <c r="B603" s="7"/>
    </row>
    <row r="604" spans="2:2" x14ac:dyDescent="0.4">
      <c r="B604" s="7"/>
    </row>
    <row r="605" spans="2:2" x14ac:dyDescent="0.4">
      <c r="B605" s="7"/>
    </row>
    <row r="606" spans="2:2" x14ac:dyDescent="0.4">
      <c r="B606" s="7"/>
    </row>
    <row r="607" spans="2:2" x14ac:dyDescent="0.4">
      <c r="B607" s="7"/>
    </row>
    <row r="608" spans="2:2" x14ac:dyDescent="0.4">
      <c r="B608" s="7"/>
    </row>
    <row r="609" spans="2:2" x14ac:dyDescent="0.4">
      <c r="B609" s="7"/>
    </row>
    <row r="610" spans="2:2" x14ac:dyDescent="0.4">
      <c r="B610" s="7"/>
    </row>
    <row r="611" spans="2:2" x14ac:dyDescent="0.4">
      <c r="B611" s="7"/>
    </row>
    <row r="612" spans="2:2" x14ac:dyDescent="0.4">
      <c r="B612" s="7"/>
    </row>
    <row r="613" spans="2:2" x14ac:dyDescent="0.4">
      <c r="B613" s="7"/>
    </row>
    <row r="614" spans="2:2" x14ac:dyDescent="0.4">
      <c r="B614" s="7"/>
    </row>
    <row r="615" spans="2:2" x14ac:dyDescent="0.4">
      <c r="B615" s="7"/>
    </row>
    <row r="616" spans="2:2" x14ac:dyDescent="0.4">
      <c r="B616" s="7"/>
    </row>
    <row r="617" spans="2:2" x14ac:dyDescent="0.4">
      <c r="B617" s="7"/>
    </row>
    <row r="618" spans="2:2" x14ac:dyDescent="0.4">
      <c r="B618" s="7"/>
    </row>
    <row r="619" spans="2:2" x14ac:dyDescent="0.4">
      <c r="B619" s="7"/>
    </row>
    <row r="620" spans="2:2" x14ac:dyDescent="0.4">
      <c r="B620" s="7"/>
    </row>
    <row r="621" spans="2:2" x14ac:dyDescent="0.4">
      <c r="B621" s="7"/>
    </row>
    <row r="622" spans="2:2" x14ac:dyDescent="0.4">
      <c r="B622" s="7"/>
    </row>
    <row r="623" spans="2:2" x14ac:dyDescent="0.4">
      <c r="B623" s="7"/>
    </row>
    <row r="624" spans="2:2" x14ac:dyDescent="0.4">
      <c r="B624" s="7"/>
    </row>
    <row r="625" spans="2:2" x14ac:dyDescent="0.4">
      <c r="B625" s="7"/>
    </row>
    <row r="626" spans="2:2" x14ac:dyDescent="0.4">
      <c r="B626" s="7"/>
    </row>
    <row r="627" spans="2:2" x14ac:dyDescent="0.4">
      <c r="B627" s="7"/>
    </row>
    <row r="628" spans="2:2" x14ac:dyDescent="0.4">
      <c r="B628" s="7"/>
    </row>
    <row r="629" spans="2:2" x14ac:dyDescent="0.4">
      <c r="B629" s="7"/>
    </row>
    <row r="630" spans="2:2" x14ac:dyDescent="0.4">
      <c r="B630" s="7"/>
    </row>
    <row r="631" spans="2:2" x14ac:dyDescent="0.4">
      <c r="B631" s="7"/>
    </row>
    <row r="632" spans="2:2" x14ac:dyDescent="0.4">
      <c r="B632" s="7"/>
    </row>
    <row r="633" spans="2:2" x14ac:dyDescent="0.4">
      <c r="B633" s="7"/>
    </row>
    <row r="634" spans="2:2" x14ac:dyDescent="0.4">
      <c r="B634" s="7"/>
    </row>
    <row r="635" spans="2:2" x14ac:dyDescent="0.4">
      <c r="B635" s="7"/>
    </row>
    <row r="636" spans="2:2" x14ac:dyDescent="0.4">
      <c r="B636" s="7"/>
    </row>
    <row r="637" spans="2:2" x14ac:dyDescent="0.4">
      <c r="B637" s="7"/>
    </row>
    <row r="638" spans="2:2" x14ac:dyDescent="0.4">
      <c r="B638" s="7"/>
    </row>
    <row r="639" spans="2:2" x14ac:dyDescent="0.4">
      <c r="B639" s="7"/>
    </row>
    <row r="640" spans="2:2" x14ac:dyDescent="0.4">
      <c r="B640" s="7"/>
    </row>
    <row r="641" spans="2:2" x14ac:dyDescent="0.4">
      <c r="B641" s="7"/>
    </row>
    <row r="642" spans="2:2" x14ac:dyDescent="0.4">
      <c r="B642" s="7"/>
    </row>
    <row r="643" spans="2:2" x14ac:dyDescent="0.4">
      <c r="B643" s="7"/>
    </row>
    <row r="644" spans="2:2" x14ac:dyDescent="0.4">
      <c r="B644" s="7"/>
    </row>
    <row r="645" spans="2:2" x14ac:dyDescent="0.4">
      <c r="B645" s="7"/>
    </row>
    <row r="646" spans="2:2" x14ac:dyDescent="0.4">
      <c r="B646" s="7"/>
    </row>
    <row r="647" spans="2:2" x14ac:dyDescent="0.4">
      <c r="B647" s="7"/>
    </row>
    <row r="648" spans="2:2" x14ac:dyDescent="0.4">
      <c r="B648" s="7"/>
    </row>
    <row r="649" spans="2:2" x14ac:dyDescent="0.4">
      <c r="B649" s="7"/>
    </row>
    <row r="650" spans="2:2" x14ac:dyDescent="0.4">
      <c r="B650" s="7"/>
    </row>
    <row r="651" spans="2:2" x14ac:dyDescent="0.4">
      <c r="B651" s="7"/>
    </row>
    <row r="652" spans="2:2" x14ac:dyDescent="0.4">
      <c r="B652" s="7"/>
    </row>
    <row r="653" spans="2:2" x14ac:dyDescent="0.4">
      <c r="B653" s="7"/>
    </row>
    <row r="654" spans="2:2" x14ac:dyDescent="0.4">
      <c r="B654" s="7"/>
    </row>
    <row r="655" spans="2:2" x14ac:dyDescent="0.4">
      <c r="B655" s="7"/>
    </row>
    <row r="656" spans="2:2" x14ac:dyDescent="0.4">
      <c r="B656" s="7"/>
    </row>
    <row r="657" spans="2:2" x14ac:dyDescent="0.4">
      <c r="B657" s="7"/>
    </row>
    <row r="658" spans="2:2" x14ac:dyDescent="0.4">
      <c r="B658" s="7"/>
    </row>
    <row r="659" spans="2:2" x14ac:dyDescent="0.4">
      <c r="B659" s="7"/>
    </row>
    <row r="660" spans="2:2" x14ac:dyDescent="0.4">
      <c r="B660" s="7"/>
    </row>
    <row r="661" spans="2:2" x14ac:dyDescent="0.4">
      <c r="B661" s="7"/>
    </row>
    <row r="662" spans="2:2" x14ac:dyDescent="0.4">
      <c r="B662" s="7"/>
    </row>
    <row r="663" spans="2:2" x14ac:dyDescent="0.4">
      <c r="B663" s="7"/>
    </row>
    <row r="664" spans="2:2" x14ac:dyDescent="0.4">
      <c r="B664" s="7"/>
    </row>
    <row r="665" spans="2:2" x14ac:dyDescent="0.4">
      <c r="B665" s="7"/>
    </row>
    <row r="666" spans="2:2" x14ac:dyDescent="0.4">
      <c r="B666" s="7"/>
    </row>
    <row r="667" spans="2:2" x14ac:dyDescent="0.4">
      <c r="B667" s="7"/>
    </row>
    <row r="668" spans="2:2" x14ac:dyDescent="0.4">
      <c r="B668" s="7"/>
    </row>
    <row r="669" spans="2:2" x14ac:dyDescent="0.4">
      <c r="B669" s="7"/>
    </row>
    <row r="670" spans="2:2" x14ac:dyDescent="0.4">
      <c r="B670" s="7"/>
    </row>
    <row r="671" spans="2:2" x14ac:dyDescent="0.4">
      <c r="B671" s="7"/>
    </row>
    <row r="672" spans="2:2" x14ac:dyDescent="0.4">
      <c r="B672" s="7"/>
    </row>
    <row r="673" spans="2:2" x14ac:dyDescent="0.4">
      <c r="B673" s="7"/>
    </row>
    <row r="674" spans="2:2" x14ac:dyDescent="0.4">
      <c r="B674" s="7"/>
    </row>
    <row r="675" spans="2:2" x14ac:dyDescent="0.4">
      <c r="B675" s="7"/>
    </row>
    <row r="676" spans="2:2" x14ac:dyDescent="0.4">
      <c r="B676" s="7"/>
    </row>
    <row r="677" spans="2:2" x14ac:dyDescent="0.4">
      <c r="B677" s="7"/>
    </row>
    <row r="678" spans="2:2" x14ac:dyDescent="0.4">
      <c r="B678" s="7"/>
    </row>
    <row r="679" spans="2:2" x14ac:dyDescent="0.4">
      <c r="B679" s="7"/>
    </row>
    <row r="680" spans="2:2" x14ac:dyDescent="0.4">
      <c r="B680" s="7"/>
    </row>
    <row r="681" spans="2:2" x14ac:dyDescent="0.4">
      <c r="B681" s="7"/>
    </row>
    <row r="682" spans="2:2" x14ac:dyDescent="0.4">
      <c r="B682" s="7"/>
    </row>
    <row r="683" spans="2:2" x14ac:dyDescent="0.4">
      <c r="B683" s="7"/>
    </row>
    <row r="684" spans="2:2" x14ac:dyDescent="0.4">
      <c r="B684" s="7"/>
    </row>
    <row r="685" spans="2:2" x14ac:dyDescent="0.4">
      <c r="B685" s="7"/>
    </row>
    <row r="686" spans="2:2" x14ac:dyDescent="0.4">
      <c r="B686" s="7"/>
    </row>
    <row r="687" spans="2:2" x14ac:dyDescent="0.4">
      <c r="B687" s="7"/>
    </row>
    <row r="688" spans="2:2" x14ac:dyDescent="0.4">
      <c r="B688" s="7"/>
    </row>
    <row r="689" spans="2:2" x14ac:dyDescent="0.4">
      <c r="B689" s="7"/>
    </row>
    <row r="690" spans="2:2" x14ac:dyDescent="0.4">
      <c r="B690" s="7"/>
    </row>
    <row r="691" spans="2:2" x14ac:dyDescent="0.4">
      <c r="B691" s="7"/>
    </row>
    <row r="692" spans="2:2" x14ac:dyDescent="0.4">
      <c r="B692" s="7"/>
    </row>
    <row r="693" spans="2:2" x14ac:dyDescent="0.4">
      <c r="B693" s="7"/>
    </row>
    <row r="694" spans="2:2" x14ac:dyDescent="0.4">
      <c r="B694" s="7"/>
    </row>
    <row r="695" spans="2:2" x14ac:dyDescent="0.4">
      <c r="B695" s="7"/>
    </row>
    <row r="696" spans="2:2" x14ac:dyDescent="0.4">
      <c r="B696" s="7"/>
    </row>
    <row r="697" spans="2:2" x14ac:dyDescent="0.4">
      <c r="B697" s="7"/>
    </row>
    <row r="698" spans="2:2" x14ac:dyDescent="0.4">
      <c r="B698" s="7"/>
    </row>
    <row r="699" spans="2:2" x14ac:dyDescent="0.4">
      <c r="B699" s="7"/>
    </row>
    <row r="700" spans="2:2" x14ac:dyDescent="0.4">
      <c r="B700" s="7"/>
    </row>
    <row r="701" spans="2:2" x14ac:dyDescent="0.4">
      <c r="B701" s="7"/>
    </row>
    <row r="702" spans="2:2" x14ac:dyDescent="0.4">
      <c r="B702" s="7"/>
    </row>
    <row r="703" spans="2:2" x14ac:dyDescent="0.4">
      <c r="B703" s="7"/>
    </row>
    <row r="704" spans="2:2" x14ac:dyDescent="0.4">
      <c r="B704" s="7"/>
    </row>
    <row r="705" spans="2:2" x14ac:dyDescent="0.4">
      <c r="B705" s="7"/>
    </row>
    <row r="706" spans="2:2" x14ac:dyDescent="0.4">
      <c r="B706" s="7"/>
    </row>
    <row r="707" spans="2:2" x14ac:dyDescent="0.4">
      <c r="B707" s="7"/>
    </row>
    <row r="708" spans="2:2" x14ac:dyDescent="0.4">
      <c r="B708" s="7"/>
    </row>
    <row r="709" spans="2:2" x14ac:dyDescent="0.4">
      <c r="B709" s="7"/>
    </row>
    <row r="710" spans="2:2" x14ac:dyDescent="0.4">
      <c r="B710" s="7"/>
    </row>
    <row r="711" spans="2:2" x14ac:dyDescent="0.4">
      <c r="B711" s="7"/>
    </row>
    <row r="712" spans="2:2" x14ac:dyDescent="0.4">
      <c r="B712" s="7"/>
    </row>
    <row r="713" spans="2:2" x14ac:dyDescent="0.4">
      <c r="B713" s="7"/>
    </row>
    <row r="714" spans="2:2" x14ac:dyDescent="0.4">
      <c r="B714" s="7"/>
    </row>
    <row r="715" spans="2:2" x14ac:dyDescent="0.4">
      <c r="B715" s="7"/>
    </row>
    <row r="716" spans="2:2" x14ac:dyDescent="0.4">
      <c r="B716" s="7"/>
    </row>
    <row r="717" spans="2:2" x14ac:dyDescent="0.4">
      <c r="B717" s="7"/>
    </row>
    <row r="718" spans="2:2" x14ac:dyDescent="0.4">
      <c r="B718" s="7"/>
    </row>
    <row r="719" spans="2:2" x14ac:dyDescent="0.4">
      <c r="B719" s="7"/>
    </row>
    <row r="720" spans="2:2" x14ac:dyDescent="0.4">
      <c r="B720" s="7"/>
    </row>
    <row r="721" spans="2:2" x14ac:dyDescent="0.4">
      <c r="B721" s="7"/>
    </row>
    <row r="722" spans="2:2" x14ac:dyDescent="0.4">
      <c r="B722" s="7"/>
    </row>
    <row r="723" spans="2:2" x14ac:dyDescent="0.4">
      <c r="B723" s="7"/>
    </row>
    <row r="724" spans="2:2" x14ac:dyDescent="0.4">
      <c r="B724" s="7"/>
    </row>
    <row r="725" spans="2:2" x14ac:dyDescent="0.4">
      <c r="B725" s="7"/>
    </row>
    <row r="726" spans="2:2" x14ac:dyDescent="0.4">
      <c r="B726" s="7"/>
    </row>
    <row r="727" spans="2:2" x14ac:dyDescent="0.4">
      <c r="B727" s="7"/>
    </row>
    <row r="728" spans="2:2" x14ac:dyDescent="0.4">
      <c r="B728" s="7"/>
    </row>
    <row r="729" spans="2:2" x14ac:dyDescent="0.4">
      <c r="B729" s="7"/>
    </row>
    <row r="730" spans="2:2" x14ac:dyDescent="0.4">
      <c r="B730" s="7"/>
    </row>
    <row r="731" spans="2:2" x14ac:dyDescent="0.4">
      <c r="B731" s="7"/>
    </row>
    <row r="732" spans="2:2" x14ac:dyDescent="0.4">
      <c r="B732" s="7"/>
    </row>
    <row r="733" spans="2:2" x14ac:dyDescent="0.4">
      <c r="B733" s="7"/>
    </row>
    <row r="734" spans="2:2" x14ac:dyDescent="0.4">
      <c r="B734" s="7"/>
    </row>
    <row r="735" spans="2:2" x14ac:dyDescent="0.4">
      <c r="B735" s="7"/>
    </row>
    <row r="736" spans="2:2" x14ac:dyDescent="0.4">
      <c r="B736" s="7"/>
    </row>
    <row r="737" spans="2:2" x14ac:dyDescent="0.4">
      <c r="B737" s="7"/>
    </row>
    <row r="738" spans="2:2" x14ac:dyDescent="0.4">
      <c r="B738" s="7"/>
    </row>
    <row r="739" spans="2:2" x14ac:dyDescent="0.4">
      <c r="B739" s="7"/>
    </row>
    <row r="740" spans="2:2" x14ac:dyDescent="0.4">
      <c r="B740" s="7"/>
    </row>
    <row r="741" spans="2:2" x14ac:dyDescent="0.4">
      <c r="B741" s="7"/>
    </row>
    <row r="742" spans="2:2" x14ac:dyDescent="0.4">
      <c r="B742" s="7"/>
    </row>
    <row r="743" spans="2:2" x14ac:dyDescent="0.4">
      <c r="B743" s="7"/>
    </row>
    <row r="744" spans="2:2" x14ac:dyDescent="0.4">
      <c r="B744" s="7"/>
    </row>
    <row r="745" spans="2:2" x14ac:dyDescent="0.4">
      <c r="B745" s="7"/>
    </row>
    <row r="746" spans="2:2" x14ac:dyDescent="0.4">
      <c r="B746" s="7"/>
    </row>
    <row r="747" spans="2:2" x14ac:dyDescent="0.4">
      <c r="B747" s="7"/>
    </row>
    <row r="748" spans="2:2" x14ac:dyDescent="0.4">
      <c r="B748" s="7"/>
    </row>
    <row r="749" spans="2:2" x14ac:dyDescent="0.4">
      <c r="B749" s="7"/>
    </row>
    <row r="750" spans="2:2" x14ac:dyDescent="0.4">
      <c r="B750" s="7"/>
    </row>
    <row r="751" spans="2:2" x14ac:dyDescent="0.4">
      <c r="B751" s="7"/>
    </row>
    <row r="752" spans="2:2" x14ac:dyDescent="0.4">
      <c r="B752" s="7"/>
    </row>
    <row r="753" spans="2:2" x14ac:dyDescent="0.4">
      <c r="B753" s="7"/>
    </row>
    <row r="754" spans="2:2" x14ac:dyDescent="0.4">
      <c r="B754" s="7"/>
    </row>
    <row r="755" spans="2:2" x14ac:dyDescent="0.4">
      <c r="B755" s="7"/>
    </row>
    <row r="756" spans="2:2" x14ac:dyDescent="0.4">
      <c r="B756" s="7"/>
    </row>
    <row r="757" spans="2:2" x14ac:dyDescent="0.4">
      <c r="B757" s="7"/>
    </row>
    <row r="758" spans="2:2" x14ac:dyDescent="0.4">
      <c r="B758" s="7"/>
    </row>
    <row r="759" spans="2:2" x14ac:dyDescent="0.4">
      <c r="B759" s="7"/>
    </row>
    <row r="760" spans="2:2" x14ac:dyDescent="0.4">
      <c r="B760" s="7"/>
    </row>
    <row r="761" spans="2:2" x14ac:dyDescent="0.4">
      <c r="B761" s="7"/>
    </row>
    <row r="762" spans="2:2" x14ac:dyDescent="0.4">
      <c r="B762" s="7"/>
    </row>
    <row r="763" spans="2:2" x14ac:dyDescent="0.4">
      <c r="B763" s="7"/>
    </row>
    <row r="764" spans="2:2" x14ac:dyDescent="0.4">
      <c r="B764" s="7"/>
    </row>
    <row r="765" spans="2:2" x14ac:dyDescent="0.4">
      <c r="B765" s="7"/>
    </row>
    <row r="766" spans="2:2" x14ac:dyDescent="0.4">
      <c r="B766" s="7"/>
    </row>
    <row r="767" spans="2:2" x14ac:dyDescent="0.4">
      <c r="B767" s="7"/>
    </row>
    <row r="768" spans="2:2" x14ac:dyDescent="0.4">
      <c r="B768" s="7"/>
    </row>
    <row r="769" spans="2:2" x14ac:dyDescent="0.4">
      <c r="B769" s="7"/>
    </row>
    <row r="770" spans="2:2" x14ac:dyDescent="0.4">
      <c r="B770" s="7"/>
    </row>
    <row r="771" spans="2:2" x14ac:dyDescent="0.4">
      <c r="B771" s="7"/>
    </row>
    <row r="772" spans="2:2" x14ac:dyDescent="0.4">
      <c r="B772" s="7"/>
    </row>
    <row r="773" spans="2:2" x14ac:dyDescent="0.4">
      <c r="B773" s="7"/>
    </row>
    <row r="774" spans="2:2" x14ac:dyDescent="0.4">
      <c r="B774" s="7"/>
    </row>
    <row r="775" spans="2:2" x14ac:dyDescent="0.4">
      <c r="B775" s="7"/>
    </row>
    <row r="776" spans="2:2" x14ac:dyDescent="0.4">
      <c r="B776" s="7"/>
    </row>
    <row r="777" spans="2:2" x14ac:dyDescent="0.4">
      <c r="B777" s="7"/>
    </row>
    <row r="778" spans="2:2" x14ac:dyDescent="0.4">
      <c r="B778" s="7"/>
    </row>
    <row r="779" spans="2:2" x14ac:dyDescent="0.4">
      <c r="B779" s="7"/>
    </row>
    <row r="780" spans="2:2" x14ac:dyDescent="0.4">
      <c r="B780" s="7"/>
    </row>
    <row r="781" spans="2:2" x14ac:dyDescent="0.4">
      <c r="B781" s="7"/>
    </row>
    <row r="782" spans="2:2" x14ac:dyDescent="0.4">
      <c r="B782" s="7"/>
    </row>
    <row r="783" spans="2:2" x14ac:dyDescent="0.4">
      <c r="B783" s="7"/>
    </row>
    <row r="784" spans="2:2" x14ac:dyDescent="0.4">
      <c r="B784" s="7"/>
    </row>
    <row r="785" spans="2:2" x14ac:dyDescent="0.4">
      <c r="B785" s="7"/>
    </row>
    <row r="786" spans="2:2" x14ac:dyDescent="0.4">
      <c r="B786" s="7"/>
    </row>
    <row r="787" spans="2:2" x14ac:dyDescent="0.4">
      <c r="B787" s="7"/>
    </row>
    <row r="788" spans="2:2" x14ac:dyDescent="0.4">
      <c r="B788" s="7"/>
    </row>
    <row r="789" spans="2:2" x14ac:dyDescent="0.4">
      <c r="B789" s="7"/>
    </row>
    <row r="790" spans="2:2" x14ac:dyDescent="0.4">
      <c r="B790" s="7"/>
    </row>
    <row r="791" spans="2:2" x14ac:dyDescent="0.4">
      <c r="B791" s="7"/>
    </row>
    <row r="792" spans="2:2" x14ac:dyDescent="0.4">
      <c r="B792" s="7"/>
    </row>
    <row r="793" spans="2:2" x14ac:dyDescent="0.4">
      <c r="B793" s="7"/>
    </row>
    <row r="794" spans="2:2" x14ac:dyDescent="0.4">
      <c r="B794" s="7"/>
    </row>
    <row r="795" spans="2:2" x14ac:dyDescent="0.4">
      <c r="B795" s="7"/>
    </row>
    <row r="796" spans="2:2" x14ac:dyDescent="0.4">
      <c r="B796" s="7"/>
    </row>
    <row r="797" spans="2:2" x14ac:dyDescent="0.4">
      <c r="B797" s="7"/>
    </row>
    <row r="798" spans="2:2" x14ac:dyDescent="0.4">
      <c r="B798" s="7"/>
    </row>
    <row r="799" spans="2:2" x14ac:dyDescent="0.4">
      <c r="B799" s="7"/>
    </row>
    <row r="800" spans="2:2" x14ac:dyDescent="0.4">
      <c r="B800" s="7"/>
    </row>
    <row r="801" spans="2:2" x14ac:dyDescent="0.4">
      <c r="B801" s="7"/>
    </row>
    <row r="802" spans="2:2" x14ac:dyDescent="0.4">
      <c r="B802" s="7"/>
    </row>
    <row r="803" spans="2:2" x14ac:dyDescent="0.4">
      <c r="B803" s="7"/>
    </row>
    <row r="804" spans="2:2" x14ac:dyDescent="0.4">
      <c r="B804" s="7"/>
    </row>
    <row r="805" spans="2:2" x14ac:dyDescent="0.4">
      <c r="B805" s="7"/>
    </row>
    <row r="806" spans="2:2" x14ac:dyDescent="0.4">
      <c r="B806" s="7"/>
    </row>
    <row r="807" spans="2:2" x14ac:dyDescent="0.4">
      <c r="B807" s="7"/>
    </row>
    <row r="808" spans="2:2" x14ac:dyDescent="0.4">
      <c r="B808" s="7"/>
    </row>
    <row r="809" spans="2:2" x14ac:dyDescent="0.4">
      <c r="B809" s="7"/>
    </row>
    <row r="810" spans="2:2" x14ac:dyDescent="0.4">
      <c r="B810" s="7"/>
    </row>
    <row r="811" spans="2:2" x14ac:dyDescent="0.4">
      <c r="B811" s="7"/>
    </row>
    <row r="812" spans="2:2" x14ac:dyDescent="0.4">
      <c r="B812" s="7"/>
    </row>
    <row r="813" spans="2:2" x14ac:dyDescent="0.4">
      <c r="B813" s="7"/>
    </row>
    <row r="814" spans="2:2" x14ac:dyDescent="0.4">
      <c r="B814" s="7"/>
    </row>
    <row r="815" spans="2:2" x14ac:dyDescent="0.4">
      <c r="B815" s="7"/>
    </row>
    <row r="816" spans="2:2" x14ac:dyDescent="0.4">
      <c r="B816" s="7"/>
    </row>
    <row r="817" spans="2:2" x14ac:dyDescent="0.4">
      <c r="B817" s="7"/>
    </row>
    <row r="818" spans="2:2" x14ac:dyDescent="0.4">
      <c r="B818" s="7"/>
    </row>
    <row r="819" spans="2:2" x14ac:dyDescent="0.4">
      <c r="B819" s="7"/>
    </row>
    <row r="820" spans="2:2" x14ac:dyDescent="0.4">
      <c r="B820" s="7"/>
    </row>
    <row r="821" spans="2:2" x14ac:dyDescent="0.4">
      <c r="B821" s="7"/>
    </row>
    <row r="822" spans="2:2" x14ac:dyDescent="0.4">
      <c r="B822" s="7"/>
    </row>
    <row r="823" spans="2:2" x14ac:dyDescent="0.4">
      <c r="B823" s="7"/>
    </row>
    <row r="824" spans="2:2" x14ac:dyDescent="0.4">
      <c r="B824" s="7"/>
    </row>
    <row r="825" spans="2:2" x14ac:dyDescent="0.4">
      <c r="B825" s="7"/>
    </row>
    <row r="826" spans="2:2" x14ac:dyDescent="0.4">
      <c r="B826" s="7"/>
    </row>
    <row r="827" spans="2:2" x14ac:dyDescent="0.4">
      <c r="B827" s="7"/>
    </row>
    <row r="828" spans="2:2" x14ac:dyDescent="0.4">
      <c r="B828" s="7"/>
    </row>
    <row r="829" spans="2:2" x14ac:dyDescent="0.4">
      <c r="B829" s="7"/>
    </row>
    <row r="830" spans="2:2" x14ac:dyDescent="0.4">
      <c r="B830" s="7"/>
    </row>
    <row r="831" spans="2:2" x14ac:dyDescent="0.4">
      <c r="B831" s="7"/>
    </row>
    <row r="832" spans="2:2" x14ac:dyDescent="0.4">
      <c r="B832" s="7"/>
    </row>
    <row r="833" spans="2:2" x14ac:dyDescent="0.4">
      <c r="B833" s="7"/>
    </row>
    <row r="834" spans="2:2" x14ac:dyDescent="0.4">
      <c r="B834" s="7"/>
    </row>
    <row r="835" spans="2:2" x14ac:dyDescent="0.4">
      <c r="B835" s="7"/>
    </row>
    <row r="836" spans="2:2" x14ac:dyDescent="0.4">
      <c r="B836" s="7"/>
    </row>
    <row r="837" spans="2:2" x14ac:dyDescent="0.4">
      <c r="B837" s="7"/>
    </row>
    <row r="838" spans="2:2" x14ac:dyDescent="0.4">
      <c r="B838" s="7"/>
    </row>
    <row r="839" spans="2:2" x14ac:dyDescent="0.4">
      <c r="B839" s="7"/>
    </row>
    <row r="840" spans="2:2" x14ac:dyDescent="0.4">
      <c r="B840" s="7"/>
    </row>
    <row r="841" spans="2:2" x14ac:dyDescent="0.4">
      <c r="B841" s="7"/>
    </row>
    <row r="842" spans="2:2" x14ac:dyDescent="0.4">
      <c r="B842" s="7"/>
    </row>
    <row r="843" spans="2:2" x14ac:dyDescent="0.4">
      <c r="B843" s="7"/>
    </row>
    <row r="844" spans="2:2" x14ac:dyDescent="0.4">
      <c r="B844" s="7"/>
    </row>
    <row r="845" spans="2:2" x14ac:dyDescent="0.4">
      <c r="B845" s="7"/>
    </row>
    <row r="846" spans="2:2" x14ac:dyDescent="0.4">
      <c r="B846" s="7"/>
    </row>
    <row r="847" spans="2:2" x14ac:dyDescent="0.4">
      <c r="B847" s="7"/>
    </row>
    <row r="848" spans="2:2" x14ac:dyDescent="0.4">
      <c r="B848" s="7"/>
    </row>
    <row r="849" spans="2:2" x14ac:dyDescent="0.4">
      <c r="B849" s="7"/>
    </row>
    <row r="850" spans="2:2" x14ac:dyDescent="0.4">
      <c r="B850" s="7"/>
    </row>
    <row r="851" spans="2:2" x14ac:dyDescent="0.4">
      <c r="B851" s="7"/>
    </row>
    <row r="852" spans="2:2" x14ac:dyDescent="0.4">
      <c r="B852" s="7"/>
    </row>
    <row r="853" spans="2:2" x14ac:dyDescent="0.4">
      <c r="B853" s="7"/>
    </row>
    <row r="854" spans="2:2" x14ac:dyDescent="0.4">
      <c r="B854" s="7"/>
    </row>
    <row r="855" spans="2:2" x14ac:dyDescent="0.4">
      <c r="B855" s="7"/>
    </row>
    <row r="856" spans="2:2" x14ac:dyDescent="0.4">
      <c r="B856" s="7"/>
    </row>
    <row r="857" spans="2:2" x14ac:dyDescent="0.4">
      <c r="B857" s="7"/>
    </row>
    <row r="858" spans="2:2" x14ac:dyDescent="0.4">
      <c r="B858" s="7"/>
    </row>
    <row r="859" spans="2:2" x14ac:dyDescent="0.4">
      <c r="B859" s="7"/>
    </row>
    <row r="860" spans="2:2" x14ac:dyDescent="0.4">
      <c r="B860" s="7"/>
    </row>
    <row r="861" spans="2:2" x14ac:dyDescent="0.4">
      <c r="B861" s="7"/>
    </row>
    <row r="862" spans="2:2" x14ac:dyDescent="0.4">
      <c r="B862" s="7"/>
    </row>
    <row r="863" spans="2:2" x14ac:dyDescent="0.4">
      <c r="B863" s="7"/>
    </row>
    <row r="864" spans="2:2" x14ac:dyDescent="0.4">
      <c r="B864" s="7"/>
    </row>
    <row r="865" spans="2:2" x14ac:dyDescent="0.4">
      <c r="B865" s="7"/>
    </row>
    <row r="866" spans="2:2" x14ac:dyDescent="0.4">
      <c r="B866" s="7"/>
    </row>
    <row r="867" spans="2:2" x14ac:dyDescent="0.4">
      <c r="B867" s="7"/>
    </row>
    <row r="868" spans="2:2" x14ac:dyDescent="0.4">
      <c r="B868" s="7"/>
    </row>
    <row r="869" spans="2:2" x14ac:dyDescent="0.4">
      <c r="B869" s="7"/>
    </row>
    <row r="870" spans="2:2" x14ac:dyDescent="0.4">
      <c r="B870" s="7"/>
    </row>
    <row r="871" spans="2:2" x14ac:dyDescent="0.4">
      <c r="B871" s="7"/>
    </row>
    <row r="872" spans="2:2" x14ac:dyDescent="0.4">
      <c r="B872" s="7"/>
    </row>
    <row r="873" spans="2:2" x14ac:dyDescent="0.4">
      <c r="B873" s="7"/>
    </row>
    <row r="874" spans="2:2" x14ac:dyDescent="0.4">
      <c r="B874" s="7"/>
    </row>
    <row r="875" spans="2:2" x14ac:dyDescent="0.4">
      <c r="B875" s="7"/>
    </row>
    <row r="876" spans="2:2" x14ac:dyDescent="0.4">
      <c r="B876" s="7"/>
    </row>
    <row r="877" spans="2:2" x14ac:dyDescent="0.4">
      <c r="B877" s="7"/>
    </row>
    <row r="878" spans="2:2" x14ac:dyDescent="0.4">
      <c r="B878" s="7"/>
    </row>
    <row r="879" spans="2:2" x14ac:dyDescent="0.4">
      <c r="B879" s="7"/>
    </row>
    <row r="880" spans="2:2" x14ac:dyDescent="0.4">
      <c r="B880" s="7"/>
    </row>
    <row r="881" spans="2:2" x14ac:dyDescent="0.4">
      <c r="B881" s="7"/>
    </row>
    <row r="882" spans="2:2" x14ac:dyDescent="0.4">
      <c r="B882" s="7"/>
    </row>
    <row r="883" spans="2:2" x14ac:dyDescent="0.4">
      <c r="B883" s="7"/>
    </row>
    <row r="884" spans="2:2" x14ac:dyDescent="0.4">
      <c r="B884" s="7"/>
    </row>
    <row r="885" spans="2:2" x14ac:dyDescent="0.4">
      <c r="B885" s="7"/>
    </row>
    <row r="886" spans="2:2" x14ac:dyDescent="0.4">
      <c r="B886" s="7"/>
    </row>
    <row r="887" spans="2:2" x14ac:dyDescent="0.4">
      <c r="B887" s="7"/>
    </row>
    <row r="888" spans="2:2" x14ac:dyDescent="0.4">
      <c r="B888" s="7"/>
    </row>
    <row r="889" spans="2:2" x14ac:dyDescent="0.4">
      <c r="B889" s="7"/>
    </row>
    <row r="890" spans="2:2" x14ac:dyDescent="0.4">
      <c r="B890" s="7"/>
    </row>
    <row r="891" spans="2:2" x14ac:dyDescent="0.4">
      <c r="B891" s="7"/>
    </row>
    <row r="892" spans="2:2" x14ac:dyDescent="0.4">
      <c r="B892" s="7"/>
    </row>
    <row r="893" spans="2:2" x14ac:dyDescent="0.4">
      <c r="B893" s="7"/>
    </row>
    <row r="894" spans="2:2" x14ac:dyDescent="0.4">
      <c r="B894" s="7"/>
    </row>
    <row r="895" spans="2:2" x14ac:dyDescent="0.4">
      <c r="B895" s="7"/>
    </row>
    <row r="896" spans="2:2" x14ac:dyDescent="0.4">
      <c r="B896" s="7"/>
    </row>
    <row r="897" spans="2:2" x14ac:dyDescent="0.4">
      <c r="B897" s="7"/>
    </row>
    <row r="898" spans="2:2" x14ac:dyDescent="0.4">
      <c r="B898" s="7"/>
    </row>
    <row r="899" spans="2:2" x14ac:dyDescent="0.4">
      <c r="B899" s="7"/>
    </row>
    <row r="900" spans="2:2" x14ac:dyDescent="0.4">
      <c r="B900" s="7"/>
    </row>
    <row r="901" spans="2:2" x14ac:dyDescent="0.4">
      <c r="B901" s="7"/>
    </row>
    <row r="902" spans="2:2" x14ac:dyDescent="0.4">
      <c r="B902" s="7"/>
    </row>
    <row r="903" spans="2:2" x14ac:dyDescent="0.4">
      <c r="B903" s="7"/>
    </row>
    <row r="904" spans="2:2" x14ac:dyDescent="0.4">
      <c r="B904" s="7"/>
    </row>
    <row r="905" spans="2:2" x14ac:dyDescent="0.4">
      <c r="B905" s="7"/>
    </row>
    <row r="906" spans="2:2" x14ac:dyDescent="0.4">
      <c r="B906" s="7"/>
    </row>
    <row r="907" spans="2:2" x14ac:dyDescent="0.4">
      <c r="B907" s="7"/>
    </row>
    <row r="908" spans="2:2" x14ac:dyDescent="0.4">
      <c r="B908" s="7"/>
    </row>
    <row r="909" spans="2:2" x14ac:dyDescent="0.4">
      <c r="B909" s="7"/>
    </row>
    <row r="910" spans="2:2" x14ac:dyDescent="0.4">
      <c r="B910" s="7"/>
    </row>
    <row r="911" spans="2:2" x14ac:dyDescent="0.4">
      <c r="B911" s="7"/>
    </row>
    <row r="912" spans="2:2" x14ac:dyDescent="0.4">
      <c r="B912" s="7"/>
    </row>
    <row r="913" spans="2:2" x14ac:dyDescent="0.4">
      <c r="B913" s="7"/>
    </row>
    <row r="914" spans="2:2" x14ac:dyDescent="0.4">
      <c r="B914" s="7"/>
    </row>
    <row r="915" spans="2:2" x14ac:dyDescent="0.4">
      <c r="B915" s="7"/>
    </row>
    <row r="916" spans="2:2" x14ac:dyDescent="0.4">
      <c r="B916" s="7"/>
    </row>
    <row r="917" spans="2:2" x14ac:dyDescent="0.4">
      <c r="B917" s="7"/>
    </row>
    <row r="918" spans="2:2" x14ac:dyDescent="0.4">
      <c r="B918" s="7"/>
    </row>
    <row r="919" spans="2:2" x14ac:dyDescent="0.4">
      <c r="B919" s="7"/>
    </row>
    <row r="920" spans="2:2" x14ac:dyDescent="0.4">
      <c r="B920" s="7"/>
    </row>
    <row r="921" spans="2:2" x14ac:dyDescent="0.4">
      <c r="B921" s="7"/>
    </row>
    <row r="922" spans="2:2" x14ac:dyDescent="0.4">
      <c r="B922" s="7"/>
    </row>
    <row r="923" spans="2:2" x14ac:dyDescent="0.4">
      <c r="B923" s="7"/>
    </row>
    <row r="924" spans="2:2" x14ac:dyDescent="0.4">
      <c r="B924" s="7"/>
    </row>
    <row r="925" spans="2:2" x14ac:dyDescent="0.4">
      <c r="B925" s="7"/>
    </row>
    <row r="926" spans="2:2" x14ac:dyDescent="0.4">
      <c r="B926" s="7"/>
    </row>
    <row r="927" spans="2:2" x14ac:dyDescent="0.4">
      <c r="B927" s="7"/>
    </row>
    <row r="928" spans="2:2" x14ac:dyDescent="0.4">
      <c r="B928" s="7"/>
    </row>
    <row r="929" spans="2:2" x14ac:dyDescent="0.4">
      <c r="B929" s="7"/>
    </row>
    <row r="930" spans="2:2" x14ac:dyDescent="0.4">
      <c r="B930" s="7"/>
    </row>
    <row r="931" spans="2:2" x14ac:dyDescent="0.4">
      <c r="B931" s="7"/>
    </row>
    <row r="932" spans="2:2" x14ac:dyDescent="0.4">
      <c r="B932" s="7"/>
    </row>
    <row r="933" spans="2:2" x14ac:dyDescent="0.4">
      <c r="B933" s="7"/>
    </row>
    <row r="934" spans="2:2" x14ac:dyDescent="0.4">
      <c r="B934" s="7"/>
    </row>
    <row r="935" spans="2:2" x14ac:dyDescent="0.4">
      <c r="B935" s="7"/>
    </row>
    <row r="936" spans="2:2" x14ac:dyDescent="0.4">
      <c r="B936" s="7"/>
    </row>
    <row r="937" spans="2:2" x14ac:dyDescent="0.4">
      <c r="B937" s="7"/>
    </row>
    <row r="938" spans="2:2" x14ac:dyDescent="0.4">
      <c r="B938" s="7"/>
    </row>
    <row r="939" spans="2:2" x14ac:dyDescent="0.4">
      <c r="B939" s="7"/>
    </row>
    <row r="940" spans="2:2" x14ac:dyDescent="0.4">
      <c r="B940" s="7"/>
    </row>
    <row r="941" spans="2:2" x14ac:dyDescent="0.4">
      <c r="B941" s="7"/>
    </row>
    <row r="942" spans="2:2" x14ac:dyDescent="0.4">
      <c r="B942" s="7"/>
    </row>
    <row r="943" spans="2:2" x14ac:dyDescent="0.4">
      <c r="B943" s="7"/>
    </row>
    <row r="944" spans="2:2" x14ac:dyDescent="0.4">
      <c r="B944" s="7"/>
    </row>
    <row r="945" spans="2:2" x14ac:dyDescent="0.4">
      <c r="B945" s="7"/>
    </row>
    <row r="946" spans="2:2" x14ac:dyDescent="0.4">
      <c r="B946" s="7"/>
    </row>
    <row r="947" spans="2:2" x14ac:dyDescent="0.4">
      <c r="B947" s="7"/>
    </row>
    <row r="948" spans="2:2" x14ac:dyDescent="0.4">
      <c r="B948" s="7"/>
    </row>
    <row r="949" spans="2:2" x14ac:dyDescent="0.4">
      <c r="B949" s="7"/>
    </row>
    <row r="950" spans="2:2" x14ac:dyDescent="0.4">
      <c r="B950" s="7"/>
    </row>
    <row r="951" spans="2:2" x14ac:dyDescent="0.4">
      <c r="B951" s="7"/>
    </row>
    <row r="952" spans="2:2" x14ac:dyDescent="0.4">
      <c r="B952" s="7"/>
    </row>
    <row r="953" spans="2:2" x14ac:dyDescent="0.4">
      <c r="B953" s="7"/>
    </row>
    <row r="954" spans="2:2" x14ac:dyDescent="0.4">
      <c r="B954" s="7"/>
    </row>
    <row r="955" spans="2:2" x14ac:dyDescent="0.4">
      <c r="B955" s="7"/>
    </row>
    <row r="956" spans="2:2" x14ac:dyDescent="0.4">
      <c r="B956" s="7"/>
    </row>
    <row r="957" spans="2:2" x14ac:dyDescent="0.4">
      <c r="B957" s="7"/>
    </row>
    <row r="958" spans="2:2" x14ac:dyDescent="0.4">
      <c r="B958" s="7"/>
    </row>
    <row r="959" spans="2:2" x14ac:dyDescent="0.4">
      <c r="B959" s="7"/>
    </row>
    <row r="960" spans="2:2" x14ac:dyDescent="0.4">
      <c r="B960" s="7"/>
    </row>
    <row r="961" spans="2:2" x14ac:dyDescent="0.4">
      <c r="B961" s="7"/>
    </row>
    <row r="962" spans="2:2" x14ac:dyDescent="0.4">
      <c r="B962" s="7"/>
    </row>
    <row r="963" spans="2:2" x14ac:dyDescent="0.4">
      <c r="B963" s="7"/>
    </row>
    <row r="964" spans="2:2" x14ac:dyDescent="0.4">
      <c r="B964" s="7"/>
    </row>
    <row r="965" spans="2:2" x14ac:dyDescent="0.4">
      <c r="B965" s="7"/>
    </row>
    <row r="966" spans="2:2" x14ac:dyDescent="0.4">
      <c r="B966" s="7"/>
    </row>
    <row r="967" spans="2:2" x14ac:dyDescent="0.4">
      <c r="B967" s="7"/>
    </row>
    <row r="968" spans="2:2" x14ac:dyDescent="0.4">
      <c r="B968" s="7"/>
    </row>
    <row r="969" spans="2:2" x14ac:dyDescent="0.4">
      <c r="B969" s="7"/>
    </row>
    <row r="970" spans="2:2" x14ac:dyDescent="0.4">
      <c r="B970" s="7"/>
    </row>
    <row r="971" spans="2:2" x14ac:dyDescent="0.4">
      <c r="B971" s="7"/>
    </row>
    <row r="972" spans="2:2" x14ac:dyDescent="0.4">
      <c r="B972" s="7"/>
    </row>
    <row r="973" spans="2:2" x14ac:dyDescent="0.4">
      <c r="B973" s="7"/>
    </row>
    <row r="974" spans="2:2" x14ac:dyDescent="0.4">
      <c r="B974" s="7"/>
    </row>
    <row r="975" spans="2:2" x14ac:dyDescent="0.4">
      <c r="B975" s="7"/>
    </row>
    <row r="976" spans="2:2" x14ac:dyDescent="0.4">
      <c r="B976" s="7"/>
    </row>
    <row r="977" spans="2:2" x14ac:dyDescent="0.4">
      <c r="B977" s="7"/>
    </row>
    <row r="978" spans="2:2" x14ac:dyDescent="0.4">
      <c r="B978" s="7"/>
    </row>
    <row r="979" spans="2:2" x14ac:dyDescent="0.4">
      <c r="B979" s="7"/>
    </row>
    <row r="980" spans="2:2" x14ac:dyDescent="0.4">
      <c r="B980" s="7"/>
    </row>
    <row r="981" spans="2:2" x14ac:dyDescent="0.4">
      <c r="B981" s="7"/>
    </row>
    <row r="982" spans="2:2" x14ac:dyDescent="0.4">
      <c r="B982" s="7"/>
    </row>
    <row r="983" spans="2:2" x14ac:dyDescent="0.4">
      <c r="B983" s="7"/>
    </row>
    <row r="984" spans="2:2" x14ac:dyDescent="0.4">
      <c r="B984" s="7"/>
    </row>
    <row r="985" spans="2:2" x14ac:dyDescent="0.4">
      <c r="B985" s="7"/>
    </row>
    <row r="986" spans="2:2" x14ac:dyDescent="0.4">
      <c r="B986" s="7"/>
    </row>
    <row r="987" spans="2:2" x14ac:dyDescent="0.4">
      <c r="B987" s="7"/>
    </row>
    <row r="988" spans="2:2" x14ac:dyDescent="0.4">
      <c r="B988" s="7"/>
    </row>
    <row r="989" spans="2:2" x14ac:dyDescent="0.4">
      <c r="B989" s="7"/>
    </row>
    <row r="990" spans="2:2" x14ac:dyDescent="0.4">
      <c r="B990" s="7"/>
    </row>
    <row r="991" spans="2:2" x14ac:dyDescent="0.4">
      <c r="B991" s="7"/>
    </row>
    <row r="992" spans="2:2" x14ac:dyDescent="0.4">
      <c r="B992" s="7"/>
    </row>
    <row r="993" spans="2:2" x14ac:dyDescent="0.4">
      <c r="B993" s="7"/>
    </row>
    <row r="994" spans="2:2" x14ac:dyDescent="0.4">
      <c r="B994" s="7"/>
    </row>
    <row r="995" spans="2:2" x14ac:dyDescent="0.4">
      <c r="B995" s="7"/>
    </row>
    <row r="996" spans="2:2" x14ac:dyDescent="0.4">
      <c r="B996" s="7"/>
    </row>
    <row r="997" spans="2:2" x14ac:dyDescent="0.4">
      <c r="B997" s="7"/>
    </row>
    <row r="998" spans="2:2" x14ac:dyDescent="0.4">
      <c r="B998" s="7"/>
    </row>
    <row r="999" spans="2:2" x14ac:dyDescent="0.4">
      <c r="B999" s="7"/>
    </row>
    <row r="1000" spans="2:2" x14ac:dyDescent="0.4">
      <c r="B1000" s="7"/>
    </row>
  </sheetData>
  <mergeCells count="1">
    <mergeCell ref="AC6:AD8"/>
  </mergeCells>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64B37-C7C8-454C-AEB1-06D10ACBF03D}">
  <dimension ref="A1"/>
  <sheetViews>
    <sheetView showGridLines="0" workbookViewId="0">
      <selection activeCell="R24" sqref="R24"/>
    </sheetView>
  </sheetViews>
  <sheetFormatPr defaultRowHeight="14.6" x14ac:dyDescent="0.4"/>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C0CFA-4DE9-43D6-8356-EFC5D246279E}">
  <dimension ref="A3:F8"/>
  <sheetViews>
    <sheetView workbookViewId="0">
      <selection activeCell="E10" sqref="E10:O30"/>
    </sheetView>
  </sheetViews>
  <sheetFormatPr defaultRowHeight="14.6" x14ac:dyDescent="0.4"/>
  <cols>
    <col min="1" max="1" width="12.4609375" bestFit="1" customWidth="1"/>
    <col min="2" max="2" width="15.53515625" bestFit="1" customWidth="1"/>
    <col min="3" max="5" width="6.84375" bestFit="1" customWidth="1"/>
    <col min="6" max="6" width="10.4609375" bestFit="1" customWidth="1"/>
  </cols>
  <sheetData>
    <row r="3" spans="1:6" x14ac:dyDescent="0.4">
      <c r="A3" s="47" t="s">
        <v>702</v>
      </c>
      <c r="B3" s="47" t="s">
        <v>703</v>
      </c>
    </row>
    <row r="4" spans="1:6" x14ac:dyDescent="0.4">
      <c r="A4" s="47" t="s">
        <v>700</v>
      </c>
      <c r="B4" t="s">
        <v>691</v>
      </c>
      <c r="C4" t="s">
        <v>689</v>
      </c>
      <c r="D4" t="s">
        <v>690</v>
      </c>
      <c r="E4" t="s">
        <v>692</v>
      </c>
      <c r="F4" t="s">
        <v>701</v>
      </c>
    </row>
    <row r="5" spans="1:6" x14ac:dyDescent="0.4">
      <c r="A5" s="48" t="s">
        <v>89</v>
      </c>
      <c r="B5">
        <v>310000</v>
      </c>
      <c r="C5">
        <v>260000</v>
      </c>
      <c r="D5">
        <v>340000</v>
      </c>
      <c r="E5">
        <v>470000</v>
      </c>
      <c r="F5">
        <v>1380000</v>
      </c>
    </row>
    <row r="6" spans="1:6" x14ac:dyDescent="0.4">
      <c r="A6" s="48" t="s">
        <v>96</v>
      </c>
      <c r="B6">
        <v>40000</v>
      </c>
      <c r="C6">
        <v>72000</v>
      </c>
      <c r="D6">
        <v>68000</v>
      </c>
      <c r="E6">
        <v>88000</v>
      </c>
      <c r="F6">
        <v>268000</v>
      </c>
    </row>
    <row r="7" spans="1:6" x14ac:dyDescent="0.4">
      <c r="A7" s="48" t="s">
        <v>693</v>
      </c>
      <c r="B7">
        <v>108000</v>
      </c>
      <c r="C7">
        <v>6000</v>
      </c>
      <c r="D7">
        <v>9000</v>
      </c>
      <c r="E7">
        <v>36000</v>
      </c>
      <c r="F7">
        <v>159000</v>
      </c>
    </row>
    <row r="8" spans="1:6" x14ac:dyDescent="0.4">
      <c r="A8" s="48" t="s">
        <v>701</v>
      </c>
      <c r="B8">
        <v>458000</v>
      </c>
      <c r="C8">
        <v>338000</v>
      </c>
      <c r="D8">
        <v>417000</v>
      </c>
      <c r="E8">
        <v>594000</v>
      </c>
      <c r="F8">
        <v>1807000</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254AF-A048-421A-8917-0E83F1DF86CA}">
  <dimension ref="A3:F9"/>
  <sheetViews>
    <sheetView workbookViewId="0">
      <selection activeCell="A3" sqref="A3"/>
    </sheetView>
  </sheetViews>
  <sheetFormatPr defaultRowHeight="14.6" x14ac:dyDescent="0.4"/>
  <cols>
    <col min="1" max="1" width="12.765625" bestFit="1" customWidth="1"/>
    <col min="2" max="2" width="15.53515625" bestFit="1" customWidth="1"/>
    <col min="3" max="3" width="5.53515625" bestFit="1" customWidth="1"/>
    <col min="4" max="4" width="5.69140625" bestFit="1" customWidth="1"/>
    <col min="5" max="5" width="5.07421875" bestFit="1" customWidth="1"/>
    <col min="6" max="6" width="10.4609375" bestFit="1" customWidth="1"/>
  </cols>
  <sheetData>
    <row r="3" spans="1:6" x14ac:dyDescent="0.4">
      <c r="A3" s="47" t="s">
        <v>704</v>
      </c>
      <c r="B3" s="47" t="s">
        <v>703</v>
      </c>
    </row>
    <row r="4" spans="1:6" x14ac:dyDescent="0.4">
      <c r="A4" s="47" t="s">
        <v>700</v>
      </c>
      <c r="B4" t="s">
        <v>691</v>
      </c>
      <c r="C4" t="s">
        <v>689</v>
      </c>
      <c r="D4" t="s">
        <v>690</v>
      </c>
      <c r="E4" t="s">
        <v>692</v>
      </c>
      <c r="F4" t="s">
        <v>701</v>
      </c>
    </row>
    <row r="5" spans="1:6" x14ac:dyDescent="0.4">
      <c r="A5" s="48" t="s">
        <v>218</v>
      </c>
      <c r="C5">
        <v>5</v>
      </c>
      <c r="F5">
        <v>5</v>
      </c>
    </row>
    <row r="6" spans="1:6" x14ac:dyDescent="0.4">
      <c r="A6" s="48" t="s">
        <v>219</v>
      </c>
      <c r="E6">
        <v>5</v>
      </c>
      <c r="F6">
        <v>5</v>
      </c>
    </row>
    <row r="7" spans="1:6" x14ac:dyDescent="0.4">
      <c r="A7" s="48" t="s">
        <v>217</v>
      </c>
      <c r="D7">
        <v>5</v>
      </c>
      <c r="F7">
        <v>5</v>
      </c>
    </row>
    <row r="8" spans="1:6" x14ac:dyDescent="0.4">
      <c r="A8" s="48" t="s">
        <v>214</v>
      </c>
      <c r="B8">
        <v>5</v>
      </c>
      <c r="F8">
        <v>5</v>
      </c>
    </row>
    <row r="9" spans="1:6" x14ac:dyDescent="0.4">
      <c r="A9" s="48" t="s">
        <v>701</v>
      </c>
      <c r="B9">
        <v>5</v>
      </c>
      <c r="C9">
        <v>5</v>
      </c>
      <c r="D9">
        <v>5</v>
      </c>
      <c r="E9">
        <v>5</v>
      </c>
      <c r="F9">
        <v>20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C7B8A-0C04-425D-A7C3-0C862918C96A}">
  <dimension ref="A3:E5"/>
  <sheetViews>
    <sheetView workbookViewId="0">
      <selection activeCell="A3" sqref="A3"/>
    </sheetView>
  </sheetViews>
  <sheetFormatPr defaultRowHeight="14.6" x14ac:dyDescent="0.4"/>
  <cols>
    <col min="1" max="1" width="11.15234375" bestFit="1" customWidth="1"/>
    <col min="2" max="2" width="15.53515625" bestFit="1" customWidth="1"/>
    <col min="3" max="3" width="8.61328125" bestFit="1" customWidth="1"/>
    <col min="4" max="4" width="9.3828125" bestFit="1" customWidth="1"/>
    <col min="5" max="5" width="10.4609375" bestFit="1" customWidth="1"/>
  </cols>
  <sheetData>
    <row r="3" spans="1:5" x14ac:dyDescent="0.4">
      <c r="B3" s="47" t="s">
        <v>703</v>
      </c>
    </row>
    <row r="4" spans="1:5" x14ac:dyDescent="0.4">
      <c r="B4" t="s">
        <v>89</v>
      </c>
      <c r="C4" t="s">
        <v>96</v>
      </c>
      <c r="D4" t="s">
        <v>693</v>
      </c>
      <c r="E4" t="s">
        <v>701</v>
      </c>
    </row>
    <row r="5" spans="1:5" x14ac:dyDescent="0.4">
      <c r="A5" t="s">
        <v>705</v>
      </c>
      <c r="B5">
        <v>250000</v>
      </c>
      <c r="C5">
        <v>56000</v>
      </c>
      <c r="D5">
        <v>60000</v>
      </c>
      <c r="E5">
        <v>250000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6B8A7-18FE-4193-85E5-3F37C36CC88C}">
  <dimension ref="A1:F7"/>
  <sheetViews>
    <sheetView workbookViewId="0">
      <selection activeCell="A3" sqref="A3"/>
    </sheetView>
  </sheetViews>
  <sheetFormatPr defaultRowHeight="14.6" x14ac:dyDescent="0.4"/>
  <cols>
    <col min="1" max="1" width="12.4609375" bestFit="1" customWidth="1"/>
    <col min="2" max="2" width="15.53515625" bestFit="1" customWidth="1"/>
    <col min="3" max="5" width="6.84375" bestFit="1" customWidth="1"/>
    <col min="6" max="6" width="10.4609375" bestFit="1" customWidth="1"/>
  </cols>
  <sheetData>
    <row r="1" spans="1:6" x14ac:dyDescent="0.4">
      <c r="A1" t="s">
        <v>706</v>
      </c>
    </row>
    <row r="3" spans="1:6" x14ac:dyDescent="0.4">
      <c r="A3" s="47" t="s">
        <v>702</v>
      </c>
      <c r="B3" s="47" t="s">
        <v>703</v>
      </c>
    </row>
    <row r="4" spans="1:6" x14ac:dyDescent="0.4">
      <c r="A4" s="47" t="s">
        <v>700</v>
      </c>
      <c r="B4" t="s">
        <v>691</v>
      </c>
      <c r="C4" t="s">
        <v>689</v>
      </c>
      <c r="D4" t="s">
        <v>690</v>
      </c>
      <c r="E4" t="s">
        <v>692</v>
      </c>
      <c r="F4" t="s">
        <v>701</v>
      </c>
    </row>
    <row r="5" spans="1:6" x14ac:dyDescent="0.4">
      <c r="A5" s="48" t="s">
        <v>707</v>
      </c>
      <c r="B5">
        <v>260000</v>
      </c>
      <c r="C5">
        <v>148000</v>
      </c>
      <c r="D5">
        <v>233000</v>
      </c>
      <c r="E5">
        <v>286000</v>
      </c>
      <c r="F5">
        <v>927000</v>
      </c>
    </row>
    <row r="6" spans="1:6" x14ac:dyDescent="0.4">
      <c r="A6" s="48" t="s">
        <v>708</v>
      </c>
      <c r="B6">
        <v>198000</v>
      </c>
      <c r="C6">
        <v>190000</v>
      </c>
      <c r="D6">
        <v>184000</v>
      </c>
      <c r="E6">
        <v>308000</v>
      </c>
      <c r="F6">
        <v>880000</v>
      </c>
    </row>
    <row r="7" spans="1:6" x14ac:dyDescent="0.4">
      <c r="A7" s="48" t="s">
        <v>701</v>
      </c>
      <c r="B7">
        <v>458000</v>
      </c>
      <c r="C7">
        <v>338000</v>
      </c>
      <c r="D7">
        <v>417000</v>
      </c>
      <c r="E7">
        <v>594000</v>
      </c>
      <c r="F7">
        <v>1807000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A6078-28DF-47C5-94AD-D9BD12888E2F}">
  <dimension ref="A1:E6"/>
  <sheetViews>
    <sheetView workbookViewId="0">
      <selection activeCell="A3" sqref="A3"/>
    </sheetView>
  </sheetViews>
  <sheetFormatPr defaultRowHeight="14.6" x14ac:dyDescent="0.4"/>
  <cols>
    <col min="1" max="1" width="12.4609375" bestFit="1" customWidth="1"/>
    <col min="2" max="2" width="15.53515625" bestFit="1" customWidth="1"/>
    <col min="3" max="3" width="8.61328125" bestFit="1" customWidth="1"/>
    <col min="4" max="4" width="9.3828125" bestFit="1" customWidth="1"/>
    <col min="5" max="5" width="10.4609375" bestFit="1" customWidth="1"/>
  </cols>
  <sheetData>
    <row r="1" spans="1:5" x14ac:dyDescent="0.4">
      <c r="A1" s="47" t="s">
        <v>688</v>
      </c>
      <c r="B1" t="s">
        <v>218</v>
      </c>
    </row>
    <row r="3" spans="1:5" x14ac:dyDescent="0.4">
      <c r="A3" s="47" t="s">
        <v>702</v>
      </c>
      <c r="B3" s="47" t="s">
        <v>703</v>
      </c>
    </row>
    <row r="4" spans="1:5" x14ac:dyDescent="0.4">
      <c r="A4" s="47" t="s">
        <v>700</v>
      </c>
      <c r="B4" t="s">
        <v>89</v>
      </c>
      <c r="C4" t="s">
        <v>96</v>
      </c>
      <c r="D4" t="s">
        <v>693</v>
      </c>
      <c r="E4" t="s">
        <v>701</v>
      </c>
    </row>
    <row r="5" spans="1:5" x14ac:dyDescent="0.4">
      <c r="A5" s="48" t="s">
        <v>689</v>
      </c>
      <c r="B5">
        <v>260000</v>
      </c>
      <c r="C5">
        <v>72000</v>
      </c>
      <c r="D5">
        <v>6000</v>
      </c>
      <c r="E5">
        <v>338000</v>
      </c>
    </row>
    <row r="6" spans="1:5" x14ac:dyDescent="0.4">
      <c r="A6" s="48" t="s">
        <v>701</v>
      </c>
      <c r="B6">
        <v>260000</v>
      </c>
      <c r="C6">
        <v>72000</v>
      </c>
      <c r="D6">
        <v>6000</v>
      </c>
      <c r="E6">
        <v>338000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A24A6-01E9-4ABC-B0B8-D2B357395D4A}">
  <dimension ref="J1:K28"/>
  <sheetViews>
    <sheetView workbookViewId="0">
      <selection activeCell="J1" sqref="J1"/>
    </sheetView>
  </sheetViews>
  <sheetFormatPr defaultRowHeight="14.6" outlineLevelRow="2" x14ac:dyDescent="0.4"/>
  <cols>
    <col min="10" max="10" width="15.07421875" bestFit="1" customWidth="1"/>
  </cols>
  <sheetData>
    <row r="1" spans="10:11" ht="18.45" x14ac:dyDescent="0.5">
      <c r="J1" s="50" t="s">
        <v>720</v>
      </c>
    </row>
    <row r="2" spans="10:11" x14ac:dyDescent="0.4">
      <c r="J2" s="49" t="s">
        <v>478</v>
      </c>
      <c r="K2" s="49" t="s">
        <v>480</v>
      </c>
    </row>
    <row r="3" spans="10:11" outlineLevel="2" x14ac:dyDescent="0.4">
      <c r="J3" s="11" t="s">
        <v>506</v>
      </c>
      <c r="K3" s="10">
        <v>3200</v>
      </c>
    </row>
    <row r="4" spans="10:11" outlineLevel="2" x14ac:dyDescent="0.4">
      <c r="J4" s="11" t="s">
        <v>506</v>
      </c>
      <c r="K4" s="10">
        <v>2200</v>
      </c>
    </row>
    <row r="5" spans="10:11" outlineLevel="1" x14ac:dyDescent="0.4">
      <c r="J5" s="49" t="s">
        <v>714</v>
      </c>
      <c r="K5" s="10">
        <f>SUBTOTAL(9,K3:K4)</f>
        <v>5400</v>
      </c>
    </row>
    <row r="6" spans="10:11" outlineLevel="2" x14ac:dyDescent="0.4">
      <c r="J6" s="11" t="s">
        <v>89</v>
      </c>
      <c r="K6" s="10">
        <v>55000</v>
      </c>
    </row>
    <row r="7" spans="10:11" outlineLevel="2" x14ac:dyDescent="0.4">
      <c r="J7" s="11" t="s">
        <v>89</v>
      </c>
      <c r="K7" s="10">
        <v>1800</v>
      </c>
    </row>
    <row r="8" spans="10:11" outlineLevel="2" x14ac:dyDescent="0.4">
      <c r="J8" s="11" t="s">
        <v>89</v>
      </c>
      <c r="K8" s="10">
        <v>22000</v>
      </c>
    </row>
    <row r="9" spans="10:11" outlineLevel="2" x14ac:dyDescent="0.4">
      <c r="J9" s="11" t="s">
        <v>89</v>
      </c>
      <c r="K9" s="10">
        <v>18000</v>
      </c>
    </row>
    <row r="10" spans="10:11" outlineLevel="2" x14ac:dyDescent="0.4">
      <c r="J10" s="11" t="s">
        <v>89</v>
      </c>
      <c r="K10" s="10">
        <v>15000</v>
      </c>
    </row>
    <row r="11" spans="10:11" outlineLevel="2" x14ac:dyDescent="0.4">
      <c r="J11" s="11" t="s">
        <v>89</v>
      </c>
      <c r="K11" s="10">
        <v>32000</v>
      </c>
    </row>
    <row r="12" spans="10:11" outlineLevel="2" x14ac:dyDescent="0.4">
      <c r="J12" s="11" t="s">
        <v>89</v>
      </c>
      <c r="K12" s="10">
        <v>45000</v>
      </c>
    </row>
    <row r="13" spans="10:11" outlineLevel="1" x14ac:dyDescent="0.4">
      <c r="J13" s="49" t="s">
        <v>715</v>
      </c>
      <c r="K13" s="10">
        <f>SUBTOTAL(9,K6:K12)</f>
        <v>188800</v>
      </c>
    </row>
    <row r="14" spans="10:11" outlineLevel="2" x14ac:dyDescent="0.4">
      <c r="J14" s="11" t="s">
        <v>492</v>
      </c>
      <c r="K14" s="10">
        <v>2500</v>
      </c>
    </row>
    <row r="15" spans="10:11" outlineLevel="2" x14ac:dyDescent="0.4">
      <c r="J15" s="11" t="s">
        <v>492</v>
      </c>
      <c r="K15" s="10">
        <v>3500</v>
      </c>
    </row>
    <row r="16" spans="10:11" outlineLevel="2" x14ac:dyDescent="0.4">
      <c r="J16" s="11" t="s">
        <v>492</v>
      </c>
      <c r="K16" s="10">
        <v>2800</v>
      </c>
    </row>
    <row r="17" spans="10:11" outlineLevel="2" x14ac:dyDescent="0.4">
      <c r="J17" s="11" t="s">
        <v>492</v>
      </c>
      <c r="K17" s="10">
        <v>4200</v>
      </c>
    </row>
    <row r="18" spans="10:11" outlineLevel="1" x14ac:dyDescent="0.4">
      <c r="J18" s="49" t="s">
        <v>716</v>
      </c>
      <c r="K18" s="10">
        <f>SUBTOTAL(9,K14:K17)</f>
        <v>13000</v>
      </c>
    </row>
    <row r="19" spans="10:11" outlineLevel="2" x14ac:dyDescent="0.4">
      <c r="J19" s="11" t="s">
        <v>96</v>
      </c>
      <c r="K19" s="10">
        <v>4500</v>
      </c>
    </row>
    <row r="20" spans="10:11" outlineLevel="2" x14ac:dyDescent="0.4">
      <c r="J20" s="11" t="s">
        <v>96</v>
      </c>
      <c r="K20" s="10">
        <v>12000</v>
      </c>
    </row>
    <row r="21" spans="10:11" outlineLevel="2" x14ac:dyDescent="0.4">
      <c r="J21" s="11" t="s">
        <v>96</v>
      </c>
      <c r="K21" s="10">
        <v>28000</v>
      </c>
    </row>
    <row r="22" spans="10:11" outlineLevel="1" x14ac:dyDescent="0.4">
      <c r="J22" s="49" t="s">
        <v>717</v>
      </c>
      <c r="K22" s="10">
        <f>SUBTOTAL(9,K19:K21)</f>
        <v>44500</v>
      </c>
    </row>
    <row r="23" spans="10:11" outlineLevel="2" x14ac:dyDescent="0.4">
      <c r="J23" s="11" t="s">
        <v>510</v>
      </c>
      <c r="K23" s="10">
        <v>1200</v>
      </c>
    </row>
    <row r="24" spans="10:11" outlineLevel="2" x14ac:dyDescent="0.4">
      <c r="J24" s="11" t="s">
        <v>510</v>
      </c>
      <c r="K24" s="10">
        <v>850</v>
      </c>
    </row>
    <row r="25" spans="10:11" outlineLevel="1" x14ac:dyDescent="0.4">
      <c r="J25" s="49" t="s">
        <v>718</v>
      </c>
      <c r="K25" s="10">
        <f>SUBTOTAL(9,K23:K24)</f>
        <v>2050</v>
      </c>
    </row>
    <row r="26" spans="10:11" outlineLevel="2" x14ac:dyDescent="0.4">
      <c r="J26" s="11" t="s">
        <v>520</v>
      </c>
      <c r="K26" s="10">
        <v>4500</v>
      </c>
    </row>
    <row r="27" spans="10:11" outlineLevel="1" x14ac:dyDescent="0.4">
      <c r="J27" s="49" t="s">
        <v>719</v>
      </c>
      <c r="K27" s="10">
        <f>SUBTOTAL(9,K26:K26)</f>
        <v>4500</v>
      </c>
    </row>
    <row r="28" spans="10:11" x14ac:dyDescent="0.4">
      <c r="J28" s="49" t="s">
        <v>701</v>
      </c>
      <c r="K28" s="10">
        <f>SUBTOTAL(9,K3:K26)</f>
        <v>258250</v>
      </c>
    </row>
  </sheetData>
  <sortState xmlns:xlrd2="http://schemas.microsoft.com/office/spreadsheetml/2017/richdata2" ref="J3:K26">
    <sortCondition ref="J3:J26"/>
  </sortState>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BA796-3080-4CCC-8576-3C304025E362}">
  <dimension ref="A2:AP25"/>
  <sheetViews>
    <sheetView tabSelected="1" topLeftCell="AH1" workbookViewId="0">
      <selection activeCell="AV25" sqref="AV25"/>
    </sheetView>
  </sheetViews>
  <sheetFormatPr defaultRowHeight="14.6" x14ac:dyDescent="0.4"/>
  <cols>
    <col min="1" max="1" width="8.3828125" bestFit="1" customWidth="1"/>
    <col min="2" max="2" width="12.765625" customWidth="1"/>
    <col min="3" max="3" width="12.4609375" customWidth="1"/>
    <col min="4" max="4" width="15.15234375" bestFit="1" customWidth="1"/>
    <col min="5" max="5" width="10.84375" bestFit="1" customWidth="1"/>
    <col min="6" max="6" width="10.07421875" bestFit="1" customWidth="1"/>
    <col min="7" max="7" width="8.15234375" bestFit="1" customWidth="1"/>
    <col min="8" max="8" width="12.23046875" bestFit="1" customWidth="1"/>
    <col min="9" max="9" width="10.23046875" bestFit="1" customWidth="1"/>
    <col min="10" max="10" width="10.23046875" customWidth="1"/>
    <col min="11" max="11" width="8.69140625" bestFit="1" customWidth="1"/>
    <col min="12" max="12" width="12.23046875" bestFit="1" customWidth="1"/>
    <col min="13" max="13" width="6.765625" bestFit="1" customWidth="1"/>
    <col min="15" max="15" width="12.4609375" bestFit="1" customWidth="1"/>
    <col min="16" max="16" width="18" bestFit="1" customWidth="1"/>
    <col min="20" max="20" width="19.3046875" bestFit="1" customWidth="1"/>
    <col min="21" max="21" width="15.53515625" bestFit="1" customWidth="1"/>
    <col min="22" max="22" width="8.53515625" bestFit="1" customWidth="1"/>
    <col min="23" max="23" width="10.4609375" bestFit="1" customWidth="1"/>
    <col min="24" max="24" width="14.765625" bestFit="1" customWidth="1"/>
    <col min="25" max="25" width="18" bestFit="1" customWidth="1"/>
    <col min="26" max="26" width="10.3828125" bestFit="1" customWidth="1"/>
    <col min="27" max="27" width="13.07421875" bestFit="1" customWidth="1"/>
    <col min="28" max="28" width="12.921875" bestFit="1" customWidth="1"/>
    <col min="29" max="29" width="12.4609375" bestFit="1" customWidth="1"/>
    <col min="30" max="30" width="18" bestFit="1" customWidth="1"/>
    <col min="31" max="31" width="16" bestFit="1" customWidth="1"/>
    <col min="32" max="32" width="15.61328125" bestFit="1" customWidth="1"/>
    <col min="33" max="33" width="10.4609375" bestFit="1" customWidth="1"/>
    <col min="34" max="34" width="12.4609375" bestFit="1" customWidth="1"/>
    <col min="35" max="35" width="11.53515625" bestFit="1" customWidth="1"/>
    <col min="41" max="41" width="12.4609375" bestFit="1" customWidth="1"/>
    <col min="42" max="42" width="11.53515625" bestFit="1" customWidth="1"/>
  </cols>
  <sheetData>
    <row r="2" spans="1:42" x14ac:dyDescent="0.4">
      <c r="A2" s="9" t="s">
        <v>685</v>
      </c>
      <c r="B2" s="9" t="s">
        <v>482</v>
      </c>
      <c r="C2" s="9" t="s">
        <v>765</v>
      </c>
      <c r="D2" s="9" t="s">
        <v>479</v>
      </c>
      <c r="E2" s="9" t="s">
        <v>84</v>
      </c>
      <c r="F2" s="9" t="s">
        <v>132</v>
      </c>
      <c r="G2" s="8" t="s">
        <v>481</v>
      </c>
      <c r="H2" s="8" t="s">
        <v>766</v>
      </c>
      <c r="I2" s="8" t="s">
        <v>767</v>
      </c>
      <c r="J2" s="8" t="s">
        <v>743</v>
      </c>
      <c r="K2" s="8" t="s">
        <v>768</v>
      </c>
      <c r="L2" s="9" t="s">
        <v>769</v>
      </c>
      <c r="M2" s="9" t="s">
        <v>770</v>
      </c>
    </row>
    <row r="3" spans="1:42" x14ac:dyDescent="0.4">
      <c r="A3" s="11" t="s">
        <v>771</v>
      </c>
      <c r="B3" s="60">
        <v>46061</v>
      </c>
      <c r="C3" s="11" t="s">
        <v>772</v>
      </c>
      <c r="D3" s="11" t="s">
        <v>773</v>
      </c>
      <c r="E3" s="11" t="s">
        <v>744</v>
      </c>
      <c r="F3" s="11" t="s">
        <v>139</v>
      </c>
      <c r="G3" s="10">
        <v>2</v>
      </c>
      <c r="H3" s="58">
        <v>2000</v>
      </c>
      <c r="I3" s="59">
        <v>180</v>
      </c>
      <c r="J3" s="59">
        <f>H3-I3</f>
        <v>1820</v>
      </c>
      <c r="K3" s="57">
        <v>0.05</v>
      </c>
      <c r="L3" s="11" t="s">
        <v>774</v>
      </c>
      <c r="M3" s="11" t="s">
        <v>775</v>
      </c>
      <c r="O3" t="s">
        <v>820</v>
      </c>
      <c r="T3" t="s">
        <v>822</v>
      </c>
      <c r="X3" t="s">
        <v>837</v>
      </c>
      <c r="AC3" t="s">
        <v>838</v>
      </c>
      <c r="AH3" t="s">
        <v>839</v>
      </c>
      <c r="AO3" t="s">
        <v>840</v>
      </c>
    </row>
    <row r="4" spans="1:42" x14ac:dyDescent="0.4">
      <c r="A4" s="11" t="s">
        <v>776</v>
      </c>
      <c r="B4" s="60">
        <v>46061</v>
      </c>
      <c r="C4" s="11" t="s">
        <v>777</v>
      </c>
      <c r="D4" s="11" t="s">
        <v>778</v>
      </c>
      <c r="E4" s="11" t="s">
        <v>779</v>
      </c>
      <c r="F4" s="11" t="s">
        <v>150</v>
      </c>
      <c r="G4" s="10">
        <v>1</v>
      </c>
      <c r="H4" s="58">
        <v>2499</v>
      </c>
      <c r="I4" s="59">
        <v>1500</v>
      </c>
      <c r="J4" s="59">
        <f t="shared" ref="J4:J22" si="0">H4-I4</f>
        <v>999</v>
      </c>
      <c r="K4" s="57">
        <v>0.1</v>
      </c>
      <c r="L4" s="11" t="s">
        <v>774</v>
      </c>
      <c r="M4" s="11" t="s">
        <v>775</v>
      </c>
    </row>
    <row r="5" spans="1:42" x14ac:dyDescent="0.4">
      <c r="A5" s="11" t="s">
        <v>780</v>
      </c>
      <c r="B5" s="60">
        <v>46061</v>
      </c>
      <c r="C5" s="11" t="s">
        <v>781</v>
      </c>
      <c r="D5" s="11" t="s">
        <v>782</v>
      </c>
      <c r="E5" s="11" t="s">
        <v>89</v>
      </c>
      <c r="F5" s="11" t="s">
        <v>160</v>
      </c>
      <c r="G5" s="10">
        <v>2</v>
      </c>
      <c r="H5" s="58">
        <v>1999</v>
      </c>
      <c r="I5" s="59">
        <v>1200</v>
      </c>
      <c r="J5" s="59">
        <f t="shared" si="0"/>
        <v>799</v>
      </c>
      <c r="K5" s="57">
        <v>0.15</v>
      </c>
      <c r="L5" s="11" t="s">
        <v>774</v>
      </c>
      <c r="M5" s="11" t="s">
        <v>775</v>
      </c>
      <c r="O5" s="47" t="s">
        <v>700</v>
      </c>
      <c r="P5" t="s">
        <v>821</v>
      </c>
      <c r="T5" s="47" t="s">
        <v>823</v>
      </c>
      <c r="U5" s="47" t="s">
        <v>703</v>
      </c>
      <c r="X5" s="47" t="s">
        <v>700</v>
      </c>
      <c r="Y5" t="s">
        <v>755</v>
      </c>
      <c r="AC5" s="47" t="s">
        <v>700</v>
      </c>
      <c r="AD5" t="s">
        <v>821</v>
      </c>
      <c r="AH5" s="8" t="s">
        <v>743</v>
      </c>
      <c r="AI5" s="8" t="s">
        <v>768</v>
      </c>
      <c r="AO5" s="47" t="s">
        <v>700</v>
      </c>
      <c r="AP5" t="s">
        <v>755</v>
      </c>
    </row>
    <row r="6" spans="1:42" x14ac:dyDescent="0.4">
      <c r="A6" s="11" t="s">
        <v>783</v>
      </c>
      <c r="B6" s="60">
        <v>46031</v>
      </c>
      <c r="C6" s="11" t="s">
        <v>784</v>
      </c>
      <c r="D6" s="11" t="s">
        <v>514</v>
      </c>
      <c r="E6" s="11" t="s">
        <v>785</v>
      </c>
      <c r="F6" s="11" t="s">
        <v>192</v>
      </c>
      <c r="G6" s="10">
        <v>1</v>
      </c>
      <c r="H6" s="58">
        <v>1799</v>
      </c>
      <c r="I6" s="59">
        <v>950</v>
      </c>
      <c r="J6" s="59">
        <f t="shared" si="0"/>
        <v>849</v>
      </c>
      <c r="K6" s="57">
        <v>0.05</v>
      </c>
      <c r="L6" s="11" t="s">
        <v>774</v>
      </c>
      <c r="M6" s="11" t="s">
        <v>775</v>
      </c>
      <c r="O6" s="48" t="s">
        <v>168</v>
      </c>
      <c r="P6">
        <v>1599</v>
      </c>
      <c r="T6" s="47" t="s">
        <v>700</v>
      </c>
      <c r="U6" t="s">
        <v>774</v>
      </c>
      <c r="V6" t="s">
        <v>793</v>
      </c>
      <c r="X6" s="48" t="s">
        <v>707</v>
      </c>
      <c r="Y6" s="61">
        <v>9417</v>
      </c>
      <c r="AC6" s="48" t="s">
        <v>824</v>
      </c>
      <c r="AD6" s="62">
        <v>1799</v>
      </c>
      <c r="AH6" s="59">
        <v>1820</v>
      </c>
      <c r="AI6" s="57">
        <v>0.05</v>
      </c>
      <c r="AO6" s="48" t="s">
        <v>168</v>
      </c>
      <c r="AP6" s="61">
        <v>749</v>
      </c>
    </row>
    <row r="7" spans="1:42" x14ac:dyDescent="0.4">
      <c r="A7" s="11" t="s">
        <v>786</v>
      </c>
      <c r="B7" s="60">
        <v>46091</v>
      </c>
      <c r="C7" s="11" t="s">
        <v>787</v>
      </c>
      <c r="D7" s="11" t="s">
        <v>788</v>
      </c>
      <c r="E7" s="11" t="s">
        <v>789</v>
      </c>
      <c r="F7" s="11" t="s">
        <v>172</v>
      </c>
      <c r="G7" s="10">
        <v>4</v>
      </c>
      <c r="H7" s="58">
        <v>3500</v>
      </c>
      <c r="I7" s="59">
        <v>220</v>
      </c>
      <c r="J7" s="59">
        <f t="shared" si="0"/>
        <v>3280</v>
      </c>
      <c r="K7" s="57">
        <v>0.1</v>
      </c>
      <c r="L7" s="11" t="s">
        <v>774</v>
      </c>
      <c r="M7" s="11" t="s">
        <v>775</v>
      </c>
      <c r="O7" s="48" t="s">
        <v>150</v>
      </c>
      <c r="P7">
        <v>2499</v>
      </c>
      <c r="T7" s="48">
        <v>1099</v>
      </c>
      <c r="U7">
        <v>1</v>
      </c>
      <c r="X7" s="48" t="s">
        <v>708</v>
      </c>
      <c r="Y7" s="61">
        <v>3618</v>
      </c>
      <c r="AC7" s="48" t="s">
        <v>825</v>
      </c>
      <c r="AD7" s="62">
        <v>1900</v>
      </c>
      <c r="AH7" s="59">
        <v>999</v>
      </c>
      <c r="AI7" s="57">
        <v>0.1</v>
      </c>
      <c r="AO7" s="48" t="s">
        <v>150</v>
      </c>
      <c r="AP7" s="61">
        <v>999</v>
      </c>
    </row>
    <row r="8" spans="1:42" x14ac:dyDescent="0.4">
      <c r="A8" s="11" t="s">
        <v>790</v>
      </c>
      <c r="B8" s="60">
        <v>46032</v>
      </c>
      <c r="C8" s="11" t="s">
        <v>772</v>
      </c>
      <c r="D8" s="11" t="s">
        <v>541</v>
      </c>
      <c r="E8" s="11" t="s">
        <v>744</v>
      </c>
      <c r="F8" s="11" t="s">
        <v>144</v>
      </c>
      <c r="G8" s="10">
        <v>2</v>
      </c>
      <c r="H8" s="58">
        <v>1900</v>
      </c>
      <c r="I8" s="59">
        <v>450</v>
      </c>
      <c r="J8" s="59">
        <f t="shared" si="0"/>
        <v>1450</v>
      </c>
      <c r="K8" s="57">
        <v>0.1</v>
      </c>
      <c r="L8" s="11" t="s">
        <v>774</v>
      </c>
      <c r="M8" s="11" t="s">
        <v>775</v>
      </c>
      <c r="O8" s="48" t="s">
        <v>185</v>
      </c>
      <c r="P8">
        <v>1199</v>
      </c>
      <c r="T8" s="48">
        <v>1199</v>
      </c>
      <c r="V8">
        <v>1</v>
      </c>
      <c r="X8" s="48" t="s">
        <v>745</v>
      </c>
      <c r="Y8" s="61">
        <v>3280</v>
      </c>
      <c r="AC8" s="48" t="s">
        <v>826</v>
      </c>
      <c r="AD8" s="62">
        <v>1799</v>
      </c>
      <c r="AH8" s="59">
        <v>799</v>
      </c>
      <c r="AI8" s="57">
        <v>0.15</v>
      </c>
      <c r="AO8" s="48" t="s">
        <v>185</v>
      </c>
      <c r="AP8" s="61">
        <v>549</v>
      </c>
    </row>
    <row r="9" spans="1:42" x14ac:dyDescent="0.4">
      <c r="A9" s="11" t="s">
        <v>791</v>
      </c>
      <c r="B9" s="60">
        <v>46123</v>
      </c>
      <c r="C9" s="11" t="s">
        <v>792</v>
      </c>
      <c r="D9" s="11" t="s">
        <v>550</v>
      </c>
      <c r="E9" s="11" t="s">
        <v>785</v>
      </c>
      <c r="F9" s="11" t="s">
        <v>154</v>
      </c>
      <c r="G9" s="10">
        <v>1</v>
      </c>
      <c r="H9" s="58">
        <v>1299</v>
      </c>
      <c r="I9" s="59">
        <v>700</v>
      </c>
      <c r="J9" s="59">
        <f t="shared" si="0"/>
        <v>599</v>
      </c>
      <c r="K9" s="57">
        <v>0.2</v>
      </c>
      <c r="L9" s="11" t="s">
        <v>793</v>
      </c>
      <c r="M9" s="11" t="s">
        <v>794</v>
      </c>
      <c r="O9" s="48" t="s">
        <v>176</v>
      </c>
      <c r="P9">
        <v>1799</v>
      </c>
      <c r="T9" s="48">
        <v>1299</v>
      </c>
      <c r="U9">
        <v>2</v>
      </c>
      <c r="V9">
        <v>1</v>
      </c>
      <c r="X9" s="48" t="s">
        <v>746</v>
      </c>
      <c r="Y9" s="61">
        <v>599</v>
      </c>
      <c r="AC9" s="48" t="s">
        <v>827</v>
      </c>
      <c r="AD9" s="62">
        <v>2300</v>
      </c>
      <c r="AH9" s="59">
        <v>849</v>
      </c>
      <c r="AI9" s="57">
        <v>0.05</v>
      </c>
      <c r="AO9" s="48" t="s">
        <v>176</v>
      </c>
      <c r="AP9" s="61">
        <v>799</v>
      </c>
    </row>
    <row r="10" spans="1:42" x14ac:dyDescent="0.4">
      <c r="A10" s="11" t="s">
        <v>795</v>
      </c>
      <c r="B10" s="60">
        <v>46033</v>
      </c>
      <c r="C10" s="11" t="s">
        <v>777</v>
      </c>
      <c r="D10" s="11" t="s">
        <v>796</v>
      </c>
      <c r="E10" s="11" t="s">
        <v>89</v>
      </c>
      <c r="F10" s="11" t="s">
        <v>176</v>
      </c>
      <c r="G10" s="10">
        <v>1</v>
      </c>
      <c r="H10" s="58">
        <v>1799</v>
      </c>
      <c r="I10" s="59">
        <v>1000</v>
      </c>
      <c r="J10" s="59">
        <f t="shared" si="0"/>
        <v>799</v>
      </c>
      <c r="K10" s="57">
        <v>0.05</v>
      </c>
      <c r="L10" s="11" t="s">
        <v>774</v>
      </c>
      <c r="M10" s="11" t="s">
        <v>775</v>
      </c>
      <c r="O10" s="48" t="s">
        <v>139</v>
      </c>
      <c r="P10">
        <v>8800</v>
      </c>
      <c r="T10" s="48">
        <v>1599</v>
      </c>
      <c r="U10">
        <v>1</v>
      </c>
      <c r="X10" s="48" t="s">
        <v>747</v>
      </c>
      <c r="Y10" s="61">
        <v>6249</v>
      </c>
      <c r="AC10" s="48" t="s">
        <v>828</v>
      </c>
      <c r="AD10" s="62">
        <v>4199</v>
      </c>
      <c r="AH10" s="59">
        <v>3280</v>
      </c>
      <c r="AI10" s="57">
        <v>0.1</v>
      </c>
      <c r="AO10" s="48" t="s">
        <v>139</v>
      </c>
      <c r="AP10" s="61">
        <v>7590</v>
      </c>
    </row>
    <row r="11" spans="1:42" x14ac:dyDescent="0.4">
      <c r="A11" s="11" t="s">
        <v>797</v>
      </c>
      <c r="B11" s="60">
        <v>46034</v>
      </c>
      <c r="C11" s="11" t="s">
        <v>781</v>
      </c>
      <c r="D11" s="11" t="s">
        <v>798</v>
      </c>
      <c r="E11" s="11" t="s">
        <v>744</v>
      </c>
      <c r="F11" s="11" t="s">
        <v>139</v>
      </c>
      <c r="G11" s="10">
        <v>3</v>
      </c>
      <c r="H11" s="58">
        <v>2300</v>
      </c>
      <c r="I11" s="59">
        <v>400</v>
      </c>
      <c r="J11" s="59">
        <f t="shared" si="0"/>
        <v>1900</v>
      </c>
      <c r="K11" s="57">
        <v>0.1</v>
      </c>
      <c r="L11" s="11" t="s">
        <v>774</v>
      </c>
      <c r="M11" s="11" t="s">
        <v>775</v>
      </c>
      <c r="O11" s="48" t="s">
        <v>502</v>
      </c>
      <c r="P11">
        <v>3100</v>
      </c>
      <c r="T11" s="48">
        <v>1799</v>
      </c>
      <c r="U11">
        <v>2</v>
      </c>
      <c r="X11" s="48" t="s">
        <v>749</v>
      </c>
      <c r="Y11" s="61">
        <v>2949</v>
      </c>
      <c r="AC11" s="48" t="s">
        <v>829</v>
      </c>
      <c r="AD11" s="62">
        <v>1500</v>
      </c>
      <c r="AH11" s="59">
        <v>1450</v>
      </c>
      <c r="AI11" s="57">
        <v>0.1</v>
      </c>
      <c r="AO11" s="48" t="s">
        <v>502</v>
      </c>
      <c r="AP11" s="61">
        <v>2800</v>
      </c>
    </row>
    <row r="12" spans="1:42" x14ac:dyDescent="0.4">
      <c r="A12" s="11" t="s">
        <v>799</v>
      </c>
      <c r="B12" s="60">
        <v>46154</v>
      </c>
      <c r="C12" s="11" t="s">
        <v>800</v>
      </c>
      <c r="D12" s="11" t="s">
        <v>612</v>
      </c>
      <c r="E12" s="11" t="s">
        <v>785</v>
      </c>
      <c r="F12" s="11" t="s">
        <v>224</v>
      </c>
      <c r="G12" s="10">
        <v>2</v>
      </c>
      <c r="H12" s="58">
        <v>1099</v>
      </c>
      <c r="I12" s="59">
        <v>550</v>
      </c>
      <c r="J12" s="59">
        <f t="shared" si="0"/>
        <v>549</v>
      </c>
      <c r="K12" s="57">
        <v>0.15</v>
      </c>
      <c r="L12" s="11" t="s">
        <v>774</v>
      </c>
      <c r="M12" s="11" t="s">
        <v>775</v>
      </c>
      <c r="O12" s="48" t="s">
        <v>160</v>
      </c>
      <c r="P12">
        <v>3298</v>
      </c>
      <c r="T12" s="48">
        <v>1999</v>
      </c>
      <c r="U12">
        <v>1</v>
      </c>
      <c r="X12" s="48" t="s">
        <v>753</v>
      </c>
      <c r="Y12" s="61">
        <v>649</v>
      </c>
      <c r="AC12" s="48" t="s">
        <v>830</v>
      </c>
      <c r="AD12" s="62">
        <v>6498</v>
      </c>
      <c r="AH12" s="59">
        <v>599</v>
      </c>
      <c r="AI12" s="57">
        <v>0.2</v>
      </c>
      <c r="AO12" s="48" t="s">
        <v>160</v>
      </c>
      <c r="AP12" s="61">
        <v>1398</v>
      </c>
    </row>
    <row r="13" spans="1:42" x14ac:dyDescent="0.4">
      <c r="A13" s="11" t="s">
        <v>801</v>
      </c>
      <c r="B13" s="60">
        <v>46154</v>
      </c>
      <c r="C13" s="11" t="s">
        <v>772</v>
      </c>
      <c r="D13" s="11" t="s">
        <v>802</v>
      </c>
      <c r="E13" s="11" t="s">
        <v>789</v>
      </c>
      <c r="F13" s="11" t="s">
        <v>502</v>
      </c>
      <c r="G13" s="10">
        <v>1</v>
      </c>
      <c r="H13" s="58">
        <v>3100</v>
      </c>
      <c r="I13" s="59">
        <v>300</v>
      </c>
      <c r="J13" s="59">
        <f t="shared" si="0"/>
        <v>2800</v>
      </c>
      <c r="K13" s="57">
        <v>0.05</v>
      </c>
      <c r="L13" s="11" t="s">
        <v>774</v>
      </c>
      <c r="M13" s="11" t="s">
        <v>775</v>
      </c>
      <c r="O13" s="48" t="s">
        <v>172</v>
      </c>
      <c r="P13">
        <v>5500</v>
      </c>
      <c r="T13" s="48">
        <v>2499</v>
      </c>
      <c r="U13">
        <v>1</v>
      </c>
      <c r="X13" s="48" t="s">
        <v>754</v>
      </c>
      <c r="Y13" s="61">
        <v>599</v>
      </c>
      <c r="AC13" s="48" t="s">
        <v>831</v>
      </c>
      <c r="AD13" s="62">
        <v>3500</v>
      </c>
      <c r="AH13" s="59">
        <v>799</v>
      </c>
      <c r="AI13" s="57">
        <v>0.05</v>
      </c>
      <c r="AO13" s="48" t="s">
        <v>172</v>
      </c>
      <c r="AP13" s="61">
        <v>4980</v>
      </c>
    </row>
    <row r="14" spans="1:42" x14ac:dyDescent="0.4">
      <c r="A14" s="11" t="s">
        <v>803</v>
      </c>
      <c r="B14" s="60">
        <v>46154</v>
      </c>
      <c r="C14" s="11" t="s">
        <v>787</v>
      </c>
      <c r="D14" s="11" t="s">
        <v>804</v>
      </c>
      <c r="E14" s="11" t="s">
        <v>785</v>
      </c>
      <c r="F14" s="11" t="s">
        <v>577</v>
      </c>
      <c r="G14" s="10">
        <v>3</v>
      </c>
      <c r="H14" s="58">
        <v>3200</v>
      </c>
      <c r="I14" s="59">
        <v>300</v>
      </c>
      <c r="J14" s="59">
        <f t="shared" si="0"/>
        <v>2900</v>
      </c>
      <c r="K14" s="57">
        <v>0.1</v>
      </c>
      <c r="L14" s="11" t="s">
        <v>774</v>
      </c>
      <c r="M14" s="11" t="s">
        <v>775</v>
      </c>
      <c r="O14" s="48" t="s">
        <v>577</v>
      </c>
      <c r="P14">
        <v>3200</v>
      </c>
      <c r="T14" s="48">
        <v>2000</v>
      </c>
      <c r="U14">
        <v>2</v>
      </c>
      <c r="AC14" s="48" t="s">
        <v>832</v>
      </c>
      <c r="AD14" s="62">
        <v>1299</v>
      </c>
      <c r="AH14" s="59">
        <v>1900</v>
      </c>
      <c r="AI14" s="57">
        <v>0.1</v>
      </c>
      <c r="AO14" s="48" t="s">
        <v>577</v>
      </c>
      <c r="AP14" s="61">
        <v>2900</v>
      </c>
    </row>
    <row r="15" spans="1:42" x14ac:dyDescent="0.4">
      <c r="A15" s="11" t="s">
        <v>805</v>
      </c>
      <c r="B15" s="60">
        <v>46036</v>
      </c>
      <c r="C15" s="11" t="s">
        <v>777</v>
      </c>
      <c r="D15" s="11" t="s">
        <v>806</v>
      </c>
      <c r="E15" s="11" t="s">
        <v>744</v>
      </c>
      <c r="F15" s="11" t="s">
        <v>185</v>
      </c>
      <c r="G15" s="10">
        <v>2</v>
      </c>
      <c r="H15" s="58">
        <v>1199</v>
      </c>
      <c r="I15" s="59">
        <v>650</v>
      </c>
      <c r="J15" s="59">
        <f t="shared" si="0"/>
        <v>549</v>
      </c>
      <c r="K15" s="57">
        <v>0.05</v>
      </c>
      <c r="L15" s="11" t="s">
        <v>793</v>
      </c>
      <c r="M15" s="11" t="s">
        <v>794</v>
      </c>
      <c r="O15" s="48" t="s">
        <v>192</v>
      </c>
      <c r="P15">
        <v>1799</v>
      </c>
      <c r="T15" s="48">
        <v>3500</v>
      </c>
      <c r="U15">
        <v>1</v>
      </c>
      <c r="AC15" s="48" t="s">
        <v>833</v>
      </c>
      <c r="AD15" s="62">
        <v>7399</v>
      </c>
      <c r="AH15" s="59">
        <v>549</v>
      </c>
      <c r="AI15" s="57">
        <v>0.15</v>
      </c>
      <c r="AO15" s="48" t="s">
        <v>192</v>
      </c>
      <c r="AP15" s="61">
        <v>849</v>
      </c>
    </row>
    <row r="16" spans="1:42" x14ac:dyDescent="0.4">
      <c r="A16" s="11" t="s">
        <v>807</v>
      </c>
      <c r="B16" s="60">
        <v>46036</v>
      </c>
      <c r="C16" s="11" t="s">
        <v>784</v>
      </c>
      <c r="D16" s="11" t="s">
        <v>808</v>
      </c>
      <c r="E16" s="11" t="s">
        <v>789</v>
      </c>
      <c r="F16" s="11" t="s">
        <v>139</v>
      </c>
      <c r="G16" s="10">
        <v>2</v>
      </c>
      <c r="H16" s="58">
        <v>3000</v>
      </c>
      <c r="I16" s="59">
        <v>450</v>
      </c>
      <c r="J16" s="59">
        <f t="shared" si="0"/>
        <v>2550</v>
      </c>
      <c r="K16" s="57">
        <v>0.1</v>
      </c>
      <c r="L16" s="11" t="s">
        <v>774</v>
      </c>
      <c r="M16" s="11" t="s">
        <v>775</v>
      </c>
      <c r="O16" s="48" t="s">
        <v>144</v>
      </c>
      <c r="P16">
        <v>2900</v>
      </c>
      <c r="T16" s="48">
        <v>1900</v>
      </c>
      <c r="U16">
        <v>1</v>
      </c>
      <c r="AC16" s="48" t="s">
        <v>834</v>
      </c>
      <c r="AD16" s="62">
        <v>4599</v>
      </c>
      <c r="AH16" s="59">
        <v>2800</v>
      </c>
      <c r="AI16" s="57">
        <v>0.05</v>
      </c>
      <c r="AO16" s="48" t="s">
        <v>144</v>
      </c>
      <c r="AP16" s="61">
        <v>1950</v>
      </c>
    </row>
    <row r="17" spans="1:42" x14ac:dyDescent="0.4">
      <c r="A17" s="11" t="s">
        <v>809</v>
      </c>
      <c r="B17" s="60">
        <v>46218</v>
      </c>
      <c r="C17" s="11" t="s">
        <v>781</v>
      </c>
      <c r="D17" s="11" t="s">
        <v>607</v>
      </c>
      <c r="E17" s="11" t="s">
        <v>89</v>
      </c>
      <c r="F17" s="11" t="s">
        <v>168</v>
      </c>
      <c r="G17" s="10">
        <v>1</v>
      </c>
      <c r="H17" s="58">
        <v>1599</v>
      </c>
      <c r="I17" s="59">
        <v>850</v>
      </c>
      <c r="J17" s="59">
        <f t="shared" si="0"/>
        <v>749</v>
      </c>
      <c r="K17" s="57">
        <v>0.15</v>
      </c>
      <c r="L17" s="11" t="s">
        <v>774</v>
      </c>
      <c r="M17" s="11" t="s">
        <v>775</v>
      </c>
      <c r="O17" s="48" t="s">
        <v>224</v>
      </c>
      <c r="P17">
        <v>1099</v>
      </c>
      <c r="T17" s="48">
        <v>2300</v>
      </c>
      <c r="U17">
        <v>1</v>
      </c>
      <c r="AC17" s="48" t="s">
        <v>835</v>
      </c>
      <c r="AD17" s="62">
        <v>1299</v>
      </c>
      <c r="AH17" s="59">
        <v>2900</v>
      </c>
      <c r="AI17" s="57">
        <v>0.1</v>
      </c>
      <c r="AO17" s="48" t="s">
        <v>224</v>
      </c>
      <c r="AP17" s="61">
        <v>549</v>
      </c>
    </row>
    <row r="18" spans="1:42" x14ac:dyDescent="0.4">
      <c r="A18" s="11" t="s">
        <v>810</v>
      </c>
      <c r="B18" s="60">
        <v>46218</v>
      </c>
      <c r="C18" s="11" t="s">
        <v>772</v>
      </c>
      <c r="D18" s="11" t="s">
        <v>811</v>
      </c>
      <c r="E18" s="11" t="s">
        <v>744</v>
      </c>
      <c r="F18" s="11" t="s">
        <v>172</v>
      </c>
      <c r="G18" s="10">
        <v>3</v>
      </c>
      <c r="H18" s="58">
        <v>2000</v>
      </c>
      <c r="I18" s="59">
        <v>300</v>
      </c>
      <c r="J18" s="59">
        <f t="shared" si="0"/>
        <v>1700</v>
      </c>
      <c r="K18" s="57">
        <v>0.05</v>
      </c>
      <c r="L18" s="11" t="s">
        <v>774</v>
      </c>
      <c r="M18" s="11" t="s">
        <v>775</v>
      </c>
      <c r="O18" s="48" t="s">
        <v>154</v>
      </c>
      <c r="P18">
        <v>2598</v>
      </c>
      <c r="T18" s="48">
        <v>3100</v>
      </c>
      <c r="U18">
        <v>1</v>
      </c>
      <c r="AC18" s="48" t="s">
        <v>836</v>
      </c>
      <c r="AD18" s="62">
        <v>1299</v>
      </c>
      <c r="AH18" s="59">
        <v>549</v>
      </c>
      <c r="AI18" s="57">
        <v>0.05</v>
      </c>
      <c r="AO18" s="48" t="s">
        <v>154</v>
      </c>
      <c r="AP18" s="61">
        <v>1248</v>
      </c>
    </row>
    <row r="19" spans="1:42" x14ac:dyDescent="0.4">
      <c r="A19" s="11" t="s">
        <v>812</v>
      </c>
      <c r="B19" s="60">
        <v>46218</v>
      </c>
      <c r="C19" s="11" t="s">
        <v>792</v>
      </c>
      <c r="D19" s="11" t="s">
        <v>813</v>
      </c>
      <c r="E19" s="11" t="s">
        <v>785</v>
      </c>
      <c r="F19" s="11" t="s">
        <v>144</v>
      </c>
      <c r="G19" s="10">
        <v>2</v>
      </c>
      <c r="H19" s="58">
        <v>1000</v>
      </c>
      <c r="I19" s="59">
        <v>500</v>
      </c>
      <c r="J19" s="59">
        <f t="shared" si="0"/>
        <v>500</v>
      </c>
      <c r="K19" s="57">
        <v>0.1</v>
      </c>
      <c r="L19" s="11" t="s">
        <v>774</v>
      </c>
      <c r="M19" s="11" t="s">
        <v>775</v>
      </c>
      <c r="T19" s="48">
        <v>3200</v>
      </c>
      <c r="U19">
        <v>1</v>
      </c>
      <c r="AC19" s="48" t="s">
        <v>701</v>
      </c>
      <c r="AD19" s="62">
        <v>39390</v>
      </c>
      <c r="AH19" s="59">
        <v>2550</v>
      </c>
      <c r="AI19" s="57">
        <v>0.1</v>
      </c>
    </row>
    <row r="20" spans="1:42" x14ac:dyDescent="0.4">
      <c r="A20" s="11" t="s">
        <v>814</v>
      </c>
      <c r="B20" s="60">
        <v>46342</v>
      </c>
      <c r="C20" s="11" t="s">
        <v>800</v>
      </c>
      <c r="D20" s="11" t="s">
        <v>815</v>
      </c>
      <c r="E20" s="11" t="s">
        <v>789</v>
      </c>
      <c r="F20" s="11" t="s">
        <v>154</v>
      </c>
      <c r="G20" s="10">
        <v>1</v>
      </c>
      <c r="H20" s="58">
        <v>1299</v>
      </c>
      <c r="I20" s="59">
        <v>650</v>
      </c>
      <c r="J20" s="59">
        <f t="shared" si="0"/>
        <v>649</v>
      </c>
      <c r="K20" s="57">
        <v>0.1</v>
      </c>
      <c r="L20" s="11" t="s">
        <v>774</v>
      </c>
      <c r="M20" s="11" t="s">
        <v>775</v>
      </c>
      <c r="T20" s="48">
        <v>3000</v>
      </c>
      <c r="U20">
        <v>1</v>
      </c>
      <c r="AH20" s="59">
        <v>749</v>
      </c>
      <c r="AI20" s="57">
        <v>0.15</v>
      </c>
    </row>
    <row r="21" spans="1:42" x14ac:dyDescent="0.4">
      <c r="A21" s="11" t="s">
        <v>816</v>
      </c>
      <c r="B21" s="60">
        <v>46373</v>
      </c>
      <c r="C21" s="11" t="s">
        <v>777</v>
      </c>
      <c r="D21" s="11" t="s">
        <v>817</v>
      </c>
      <c r="E21" s="11" t="s">
        <v>89</v>
      </c>
      <c r="F21" s="11" t="s">
        <v>160</v>
      </c>
      <c r="G21" s="10">
        <v>2</v>
      </c>
      <c r="H21" s="58">
        <v>1299</v>
      </c>
      <c r="I21" s="59">
        <v>700</v>
      </c>
      <c r="J21" s="59">
        <f t="shared" si="0"/>
        <v>599</v>
      </c>
      <c r="K21" s="57">
        <v>0.05</v>
      </c>
      <c r="L21" s="11" t="s">
        <v>774</v>
      </c>
      <c r="M21" s="11" t="s">
        <v>775</v>
      </c>
      <c r="T21" s="48">
        <v>1000</v>
      </c>
      <c r="U21">
        <v>1</v>
      </c>
      <c r="AH21" s="59">
        <v>1700</v>
      </c>
      <c r="AI21" s="57">
        <v>0.05</v>
      </c>
    </row>
    <row r="22" spans="1:42" x14ac:dyDescent="0.4">
      <c r="A22" s="11" t="s">
        <v>818</v>
      </c>
      <c r="B22" s="60">
        <v>46039</v>
      </c>
      <c r="C22" s="11" t="s">
        <v>772</v>
      </c>
      <c r="D22" s="11" t="s">
        <v>819</v>
      </c>
      <c r="E22" s="11" t="s">
        <v>744</v>
      </c>
      <c r="F22" s="11" t="s">
        <v>139</v>
      </c>
      <c r="G22" s="10">
        <v>4</v>
      </c>
      <c r="H22" s="58">
        <v>1500</v>
      </c>
      <c r="I22" s="59">
        <v>180</v>
      </c>
      <c r="J22" s="59">
        <f t="shared" si="0"/>
        <v>1320</v>
      </c>
      <c r="K22" s="57">
        <v>0.1</v>
      </c>
      <c r="L22" s="11" t="s">
        <v>774</v>
      </c>
      <c r="M22" s="11" t="s">
        <v>775</v>
      </c>
      <c r="T22" s="48">
        <v>1500</v>
      </c>
      <c r="U22">
        <v>1</v>
      </c>
      <c r="AH22" s="59">
        <v>500</v>
      </c>
      <c r="AI22" s="57">
        <v>0.1</v>
      </c>
    </row>
    <row r="23" spans="1:42" x14ac:dyDescent="0.4">
      <c r="AH23" s="59">
        <v>649</v>
      </c>
      <c r="AI23" s="57">
        <v>0.1</v>
      </c>
    </row>
    <row r="24" spans="1:42" x14ac:dyDescent="0.4">
      <c r="AH24" s="59">
        <v>599</v>
      </c>
      <c r="AI24" s="57">
        <v>0.05</v>
      </c>
    </row>
    <row r="25" spans="1:42" x14ac:dyDescent="0.4">
      <c r="AH25" s="59">
        <v>1320</v>
      </c>
      <c r="AI25" s="57">
        <v>0.1</v>
      </c>
    </row>
  </sheetData>
  <pageMargins left="0.7" right="0.7" top="0.75" bottom="0.75" header="0.3" footer="0.3"/>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Sheet1</vt:lpstr>
      <vt:lpstr>Sheet2</vt:lpstr>
      <vt:lpstr>Sheet3</vt:lpstr>
      <vt:lpstr>Sheet4</vt:lpstr>
      <vt:lpstr>05.09.2026 Part1</vt:lpstr>
      <vt:lpstr>05.09.2026 Part2 Practice Sheet</vt:lpstr>
      <vt:lpstr>06.09.2026 Part1</vt:lpstr>
      <vt:lpstr>06.09.2026 Part2</vt:lpstr>
      <vt:lpstr>06.09.2026 Part3</vt:lpstr>
      <vt:lpstr>12.09.2026 Part1</vt:lpstr>
      <vt:lpstr>12.09.2026 Part2</vt:lpstr>
      <vt:lpstr>12.09.2026 Part3</vt:lpstr>
      <vt:lpstr>Sheet5</vt:lpstr>
      <vt:lpstr>Pivot Table</vt:lpstr>
      <vt:lpstr>count no of sales man in each R</vt:lpstr>
      <vt:lpstr>show max sales in each category</vt:lpstr>
      <vt:lpstr>show month wise total sales </vt:lpstr>
      <vt:lpstr>Sheet10</vt:lpstr>
      <vt:lpstr>Subtotal</vt:lpstr>
      <vt:lpstr>13.09.2026 Part1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Soutrik Saha</dc:creator>
  <cp:lastModifiedBy>Soutrik Saha</cp:lastModifiedBy>
  <dcterms:created xsi:type="dcterms:W3CDTF">2026-08-30T10:51:26Z</dcterms:created>
  <dcterms:modified xsi:type="dcterms:W3CDTF">2026-09-13T11:10:54Z</dcterms:modified>
</cp:coreProperties>
</file>