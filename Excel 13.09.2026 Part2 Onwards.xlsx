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DATA ANALYTICS CLASSES\"/>
    </mc:Choice>
  </mc:AlternateContent>
  <xr:revisionPtr revIDLastSave="0" documentId="13_ncr:1_{DC2FE466-858A-46F4-BF77-B2805D5ECDBA}" xr6:coauthVersionLast="47" xr6:coauthVersionMax="47" xr10:uidLastSave="{00000000-0000-0000-0000-000000000000}"/>
  <bookViews>
    <workbookView xWindow="-103" yWindow="-103" windowWidth="24892" windowHeight="14914" activeTab="1" xr2:uid="{B4A11C01-A4B2-4A95-8EC0-087E5B3ACC16}"/>
  </bookViews>
  <sheets>
    <sheet name="Sheet1" sheetId="1" r:id="rId1"/>
    <sheet name="KPI" sheetId="8" r:id="rId2"/>
    <sheet name="Sheet2" sheetId="2" r:id="rId3"/>
    <sheet name="Sheet3" sheetId="4" r:id="rId4"/>
    <sheet name="Sheet4" sheetId="5" r:id="rId5"/>
    <sheet name="Sheet5" sheetId="6" r:id="rId6"/>
    <sheet name="Sheet6" sheetId="7" r:id="rId7"/>
  </sheets>
  <definedNames>
    <definedName name="Slicer_Category">#N/A</definedName>
    <definedName name="Slicer_City">#N/A</definedName>
    <definedName name="Slicer_Platform">#N/A</definedName>
    <definedName name="Slicer_Platform1">#N/A</definedName>
  </definedNames>
  <calcPr calcId="191029"/>
  <pivotCaches>
    <pivotCache cacheId="3" r:id="rId8"/>
    <pivotCache cacheId="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<sst xmlns="http://schemas.openxmlformats.org/spreadsheetml/2006/main" count="214" uniqueCount="103">
  <si>
    <t>Order_ID</t>
  </si>
  <si>
    <t>Order_Date</t>
  </si>
  <si>
    <t>Platform</t>
  </si>
  <si>
    <t>Product</t>
  </si>
  <si>
    <t>Category</t>
  </si>
  <si>
    <t>City</t>
  </si>
  <si>
    <t>Quantity</t>
  </si>
  <si>
    <t>Selling_Price</t>
  </si>
  <si>
    <t>Cost_Price</t>
  </si>
  <si>
    <t>Discount</t>
  </si>
  <si>
    <t>Order_Status</t>
  </si>
  <si>
    <t>Return</t>
  </si>
  <si>
    <t>O1006</t>
  </si>
  <si>
    <t>Instagram</t>
  </si>
  <si>
    <t>Mobile Cover</t>
  </si>
  <si>
    <t>Accessories</t>
  </si>
  <si>
    <t>Delhi</t>
  </si>
  <si>
    <t>Delivered</t>
  </si>
  <si>
    <t>No</t>
  </si>
  <si>
    <t>O1007</t>
  </si>
  <si>
    <t>Amazon</t>
  </si>
  <si>
    <t>Running Shoes</t>
  </si>
  <si>
    <t>Footwear</t>
  </si>
  <si>
    <t>Bangalore</t>
  </si>
  <si>
    <t>O1008</t>
  </si>
  <si>
    <t>Flipkart</t>
  </si>
  <si>
    <t>Smart Watch</t>
  </si>
  <si>
    <t>Electronics</t>
  </si>
  <si>
    <t>Hyderabad</t>
  </si>
  <si>
    <t>O1009</t>
  </si>
  <si>
    <t>WhatsApp</t>
  </si>
  <si>
    <t>Saree</t>
  </si>
  <si>
    <t>Clothing</t>
  </si>
  <si>
    <t>Lucknow</t>
  </si>
  <si>
    <t>O1010</t>
  </si>
  <si>
    <t>Meesho</t>
  </si>
  <si>
    <t>Cushion Cover</t>
  </si>
  <si>
    <t>Home Decor</t>
  </si>
  <si>
    <t>Jaipur</t>
  </si>
  <si>
    <t>O1011</t>
  </si>
  <si>
    <t>Handbag</t>
  </si>
  <si>
    <t>Mumbai</t>
  </si>
  <si>
    <t>O1012</t>
  </si>
  <si>
    <t>Myntra</t>
  </si>
  <si>
    <t>Jeans</t>
  </si>
  <si>
    <t>Pune</t>
  </si>
  <si>
    <t>Returned</t>
  </si>
  <si>
    <t>Yes</t>
  </si>
  <si>
    <t>O1013</t>
  </si>
  <si>
    <t>Bluetooth Speaker</t>
  </si>
  <si>
    <t>Chennai</t>
  </si>
  <si>
    <t>O1014</t>
  </si>
  <si>
    <t>Backpack</t>
  </si>
  <si>
    <t>O1015</t>
  </si>
  <si>
    <t>Own Website</t>
  </si>
  <si>
    <t>Kurti</t>
  </si>
  <si>
    <t>Noida</t>
  </si>
  <si>
    <t>O1016</t>
  </si>
  <si>
    <t>Wall Clock</t>
  </si>
  <si>
    <t>Gurgaon</t>
  </si>
  <si>
    <t>O1017</t>
  </si>
  <si>
    <t>T-Shirt</t>
  </si>
  <si>
    <t>Kolkata</t>
  </si>
  <si>
    <t>O1018</t>
  </si>
  <si>
    <t>Laptop Bag</t>
  </si>
  <si>
    <t>Chandigarh</t>
  </si>
  <si>
    <t>O1019</t>
  </si>
  <si>
    <t>Bedsheet</t>
  </si>
  <si>
    <t>O1020</t>
  </si>
  <si>
    <t>Earbuds</t>
  </si>
  <si>
    <t>Ahmedabad</t>
  </si>
  <si>
    <t>O1021</t>
  </si>
  <si>
    <t>Sunglasses</t>
  </si>
  <si>
    <t>O1022</t>
  </si>
  <si>
    <t>Shirt</t>
  </si>
  <si>
    <t>O1023</t>
  </si>
  <si>
    <t>Table Lamp</t>
  </si>
  <si>
    <t>O1024</t>
  </si>
  <si>
    <t>Power Bank</t>
  </si>
  <si>
    <t>O1025</t>
  </si>
  <si>
    <t>Earrings</t>
  </si>
  <si>
    <t>Row Labels</t>
  </si>
  <si>
    <t>Grand Total</t>
  </si>
  <si>
    <t>Sum of Selling_Price</t>
  </si>
  <si>
    <t>Count of Order_Status</t>
  </si>
  <si>
    <t>Column Labels</t>
  </si>
  <si>
    <t>Profit</t>
  </si>
  <si>
    <t>Jan</t>
  </si>
  <si>
    <t>Feb</t>
  </si>
  <si>
    <t>Mar</t>
  </si>
  <si>
    <t>Apr</t>
  </si>
  <si>
    <t>May</t>
  </si>
  <si>
    <t>Jul</t>
  </si>
  <si>
    <t>Nov</t>
  </si>
  <si>
    <t>Dec</t>
  </si>
  <si>
    <t>Sum of Profit</t>
  </si>
  <si>
    <t>Add Slicer Based on City</t>
  </si>
  <si>
    <t>Slicer base on Platform</t>
  </si>
  <si>
    <t>Sum of Quantity</t>
  </si>
  <si>
    <t>Sum of Discount</t>
  </si>
  <si>
    <t>Max of Profit</t>
  </si>
  <si>
    <t>KPI</t>
  </si>
  <si>
    <t>Max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</si>
</sst>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K&quot;"/>
  </numFmts>
  <fonts count="3" x14ac:knownFonts="1">
    <font>
      <sz val="11"/>
      <color theme="1"/>
      <name val="Aptos Narrow"/>
      <family val="2"/>
      <scheme val="minor"/>
    </font>
    <font>
      <b/>
      <sz val="11"/>
      <color theme="1"/>
      <name val="Aptos Narrow"/>
      <family val="2"/>
      <scheme val="minor"/>
    </font>
    <font>
      <b/>
      <i/>
      <sz val="24"/>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applyAlignment="1">
      <alignment horizontal="left"/>
    </xf>
    <xf numFmtId="0" fontId="0" fillId="0" borderId="0" xfId="0" applyNumberFormat="1"/>
    <xf numFmtId="0" fontId="1" fillId="0" borderId="0" xfId="0" applyFont="1"/>
    <xf numFmtId="0" fontId="2" fillId="0" borderId="0" xfId="0" applyFont="1" applyAlignme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13.09.2026 Part2 Onwards.xlsx]Sheet2!PivotTable1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Sheet2!$A$4:$A$16</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Sheet2!$B$4:$B$16</c:f>
              <c:numCache>
                <c:formatCode>General</c:formatCode>
                <c:ptCount val="13"/>
                <c:pt idx="0">
                  <c:v>1599</c:v>
                </c:pt>
                <c:pt idx="1">
                  <c:v>2499</c:v>
                </c:pt>
                <c:pt idx="2">
                  <c:v>1199</c:v>
                </c:pt>
                <c:pt idx="3">
                  <c:v>1799</c:v>
                </c:pt>
                <c:pt idx="4">
                  <c:v>2596</c:v>
                </c:pt>
                <c:pt idx="5">
                  <c:v>699</c:v>
                </c:pt>
                <c:pt idx="6">
                  <c:v>3298</c:v>
                </c:pt>
                <c:pt idx="7">
                  <c:v>1198</c:v>
                </c:pt>
                <c:pt idx="8">
                  <c:v>599</c:v>
                </c:pt>
                <c:pt idx="9">
                  <c:v>1799</c:v>
                </c:pt>
                <c:pt idx="10">
                  <c:v>1898</c:v>
                </c:pt>
                <c:pt idx="11">
                  <c:v>1099</c:v>
                </c:pt>
                <c:pt idx="12">
                  <c:v>2598</c:v>
                </c:pt>
              </c:numCache>
            </c:numRef>
          </c:val>
          <c:extLst>
            <c:ext xmlns:c16="http://schemas.microsoft.com/office/drawing/2014/chart" uri="{C3380CC4-5D6E-409C-BE32-E72D297353CC}">
              <c16:uniqueId val="{00000000-352F-461E-9091-32E1BF8397D3}"/>
            </c:ext>
          </c:extLst>
        </c:ser>
        <c:dLbls>
          <c:dLblPos val="outEnd"/>
          <c:showLegendKey val="0"/>
          <c:showVal val="1"/>
          <c:showCatName val="0"/>
          <c:showSerName val="0"/>
          <c:showPercent val="0"/>
          <c:showBubbleSize val="0"/>
        </c:dLbls>
        <c:gapWidth val="150"/>
        <c:axId val="464511519"/>
        <c:axId val="264835599"/>
      </c:barChart>
      <c:catAx>
        <c:axId val="464511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35599"/>
        <c:crosses val="autoZero"/>
        <c:auto val="1"/>
        <c:lblAlgn val="ctr"/>
        <c:lblOffset val="100"/>
        <c:noMultiLvlLbl val="0"/>
      </c:catAx>
      <c:valAx>
        <c:axId val="26483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1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13.09.2026 Part2 Onwards.xlsx]Sheet3!PivotTable2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Delivered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FFA-481F-A98B-24E62489DB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FFA-481F-A98B-24E62489DB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FFA-481F-A98B-24E62489DB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FFA-481F-A98B-24E62489DB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FFA-481F-A98B-24E62489DB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FFA-481F-A98B-24E62489DB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FFA-481F-A98B-24E62489DB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FFA-481F-A98B-24E62489DB4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FFA-481F-A98B-24E62489DB4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FFA-481F-A98B-24E62489DB4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FFA-481F-A98B-24E62489DB4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FFA-481F-A98B-24E62489DB4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DFFA-481F-A98B-24E62489DB4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DFFA-481F-A98B-24E62489DB4C}"/>
              </c:ext>
            </c:extLst>
          </c:dPt>
          <c:cat>
            <c:strRef>
              <c:f>Sheet3!$A$5:$A$18</c:f>
              <c:strCache>
                <c:ptCount val="14"/>
                <c:pt idx="0">
                  <c:v>399</c:v>
                </c:pt>
                <c:pt idx="1">
                  <c:v>499</c:v>
                </c:pt>
                <c:pt idx="2">
                  <c:v>599</c:v>
                </c:pt>
                <c:pt idx="3">
                  <c:v>699</c:v>
                </c:pt>
                <c:pt idx="4">
                  <c:v>799</c:v>
                </c:pt>
                <c:pt idx="5">
                  <c:v>899</c:v>
                </c:pt>
                <c:pt idx="6">
                  <c:v>999</c:v>
                </c:pt>
                <c:pt idx="7">
                  <c:v>1099</c:v>
                </c:pt>
                <c:pt idx="8">
                  <c:v>1199</c:v>
                </c:pt>
                <c:pt idx="9">
                  <c:v>1299</c:v>
                </c:pt>
                <c:pt idx="10">
                  <c:v>1599</c:v>
                </c:pt>
                <c:pt idx="11">
                  <c:v>1799</c:v>
                </c:pt>
                <c:pt idx="12">
                  <c:v>1999</c:v>
                </c:pt>
                <c:pt idx="13">
                  <c:v>2499</c:v>
                </c:pt>
              </c:strCache>
            </c:strRef>
          </c:cat>
          <c:val>
            <c:numRef>
              <c:f>Sheet3!$B$5:$B$18</c:f>
              <c:numCache>
                <c:formatCode>General</c:formatCode>
                <c:ptCount val="14"/>
                <c:pt idx="0">
                  <c:v>1</c:v>
                </c:pt>
                <c:pt idx="1">
                  <c:v>2</c:v>
                </c:pt>
                <c:pt idx="2">
                  <c:v>1</c:v>
                </c:pt>
                <c:pt idx="3">
                  <c:v>2</c:v>
                </c:pt>
                <c:pt idx="4">
                  <c:v>1</c:v>
                </c:pt>
                <c:pt idx="5">
                  <c:v>2</c:v>
                </c:pt>
                <c:pt idx="6">
                  <c:v>1</c:v>
                </c:pt>
                <c:pt idx="7">
                  <c:v>1</c:v>
                </c:pt>
                <c:pt idx="9">
                  <c:v>2</c:v>
                </c:pt>
                <c:pt idx="10">
                  <c:v>1</c:v>
                </c:pt>
                <c:pt idx="11">
                  <c:v>2</c:v>
                </c:pt>
                <c:pt idx="12">
                  <c:v>1</c:v>
                </c:pt>
                <c:pt idx="13">
                  <c:v>1</c:v>
                </c:pt>
              </c:numCache>
            </c:numRef>
          </c:val>
          <c:extLst>
            <c:ext xmlns:c16="http://schemas.microsoft.com/office/drawing/2014/chart" uri="{C3380CC4-5D6E-409C-BE32-E72D297353CC}">
              <c16:uniqueId val="{00000000-6EAF-437B-8993-2CA800D63E27}"/>
            </c:ext>
          </c:extLst>
        </c:ser>
        <c:ser>
          <c:idx val="1"/>
          <c:order val="1"/>
          <c:tx>
            <c:strRef>
              <c:f>Sheet3!$C$3:$C$4</c:f>
              <c:strCache>
                <c:ptCount val="1"/>
                <c:pt idx="0">
                  <c:v>Returned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Sheet3!$A$5:$A$18</c:f>
              <c:strCache>
                <c:ptCount val="14"/>
                <c:pt idx="0">
                  <c:v>399</c:v>
                </c:pt>
                <c:pt idx="1">
                  <c:v>499</c:v>
                </c:pt>
                <c:pt idx="2">
                  <c:v>599</c:v>
                </c:pt>
                <c:pt idx="3">
                  <c:v>699</c:v>
                </c:pt>
                <c:pt idx="4">
                  <c:v>799</c:v>
                </c:pt>
                <c:pt idx="5">
                  <c:v>899</c:v>
                </c:pt>
                <c:pt idx="6">
                  <c:v>999</c:v>
                </c:pt>
                <c:pt idx="7">
                  <c:v>1099</c:v>
                </c:pt>
                <c:pt idx="8">
                  <c:v>1199</c:v>
                </c:pt>
                <c:pt idx="9">
                  <c:v>1299</c:v>
                </c:pt>
                <c:pt idx="10">
                  <c:v>1599</c:v>
                </c:pt>
                <c:pt idx="11">
                  <c:v>1799</c:v>
                </c:pt>
                <c:pt idx="12">
                  <c:v>1999</c:v>
                </c:pt>
                <c:pt idx="13">
                  <c:v>2499</c:v>
                </c:pt>
              </c:strCache>
            </c:strRef>
          </c:cat>
          <c:val>
            <c:numRef>
              <c:f>Sheet3!$C$5:$C$18</c:f>
              <c:numCache>
                <c:formatCode>General</c:formatCode>
                <c:ptCount val="14"/>
                <c:pt idx="8">
                  <c:v>1</c:v>
                </c:pt>
                <c:pt idx="9">
                  <c:v>1</c:v>
                </c:pt>
              </c:numCache>
            </c:numRef>
          </c:val>
          <c:extLst>
            <c:ext xmlns:c16="http://schemas.microsoft.com/office/drawing/2014/chart" uri="{C3380CC4-5D6E-409C-BE32-E72D297353CC}">
              <c16:uniqueId val="{00000039-DFFA-481F-A98B-24E62489DB4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13.09.2026 Part2 Onwards.xlsx]Sheet4!PivotTable3</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Sheet4!$A$4:$A$12</c:f>
              <c:strCache>
                <c:ptCount val="8"/>
                <c:pt idx="0">
                  <c:v>Jan</c:v>
                </c:pt>
                <c:pt idx="1">
                  <c:v>Feb</c:v>
                </c:pt>
                <c:pt idx="2">
                  <c:v>Mar</c:v>
                </c:pt>
                <c:pt idx="3">
                  <c:v>Apr</c:v>
                </c:pt>
                <c:pt idx="4">
                  <c:v>May</c:v>
                </c:pt>
                <c:pt idx="5">
                  <c:v>Jul</c:v>
                </c:pt>
                <c:pt idx="6">
                  <c:v>Nov</c:v>
                </c:pt>
                <c:pt idx="7">
                  <c:v>Dec</c:v>
                </c:pt>
              </c:strCache>
            </c:strRef>
          </c:cat>
          <c:val>
            <c:numRef>
              <c:f>Sheet4!$B$4:$B$12</c:f>
              <c:numCache>
                <c:formatCode>General</c:formatCode>
                <c:ptCount val="8"/>
                <c:pt idx="0">
                  <c:v>3813</c:v>
                </c:pt>
                <c:pt idx="1">
                  <c:v>2017</c:v>
                </c:pt>
                <c:pt idx="2">
                  <c:v>279</c:v>
                </c:pt>
                <c:pt idx="3">
                  <c:v>599</c:v>
                </c:pt>
                <c:pt idx="4">
                  <c:v>1247</c:v>
                </c:pt>
                <c:pt idx="5">
                  <c:v>1647</c:v>
                </c:pt>
                <c:pt idx="6">
                  <c:v>649</c:v>
                </c:pt>
                <c:pt idx="7">
                  <c:v>599</c:v>
                </c:pt>
              </c:numCache>
            </c:numRef>
          </c:val>
          <c:smooth val="0"/>
          <c:extLst>
            <c:ext xmlns:c16="http://schemas.microsoft.com/office/drawing/2014/chart" uri="{C3380CC4-5D6E-409C-BE32-E72D297353CC}">
              <c16:uniqueId val="{00000000-508C-4C5B-8861-1676B43996A1}"/>
            </c:ext>
          </c:extLst>
        </c:ser>
        <c:dLbls>
          <c:dLblPos val="t"/>
          <c:showLegendKey val="0"/>
          <c:showVal val="1"/>
          <c:showCatName val="0"/>
          <c:showSerName val="0"/>
          <c:showPercent val="0"/>
          <c:showBubbleSize val="0"/>
        </c:dLbls>
        <c:marker val="1"/>
        <c:smooth val="0"/>
        <c:axId val="417322895"/>
        <c:axId val="455020815"/>
      </c:lineChart>
      <c:catAx>
        <c:axId val="4173228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5020815"/>
        <c:crosses val="autoZero"/>
        <c:auto val="1"/>
        <c:lblAlgn val="ctr"/>
        <c:lblOffset val="100"/>
        <c:noMultiLvlLbl val="0"/>
      </c:catAx>
      <c:valAx>
        <c:axId val="4550208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3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97288056925636E-2"/>
          <c:y val="0.17403297917185909"/>
          <c:w val="0.89200570040824601"/>
          <c:h val="0.75516488047434871"/>
        </c:manualLayout>
      </c:layout>
      <c:scatterChart>
        <c:scatterStyle val="smoothMarker"/>
        <c:varyColors val="0"/>
        <c:ser>
          <c:idx val="0"/>
          <c:order val="0"/>
          <c:tx>
            <c:strRef>
              <c:f>Sheet5!$Q$1</c:f>
              <c:strCache>
                <c:ptCount val="1"/>
                <c:pt idx="0">
                  <c:v>Profit</c:v>
                </c:pt>
              </c:strCache>
            </c:strRef>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Sheet5!$P$2:$P$21</c:f>
              <c:numCache>
                <c:formatCode>0%</c:formatCode>
                <c:ptCount val="20"/>
                <c:pt idx="0">
                  <c:v>0.05</c:v>
                </c:pt>
                <c:pt idx="1">
                  <c:v>0.1</c:v>
                </c:pt>
                <c:pt idx="2">
                  <c:v>0.15</c:v>
                </c:pt>
                <c:pt idx="3">
                  <c:v>0.05</c:v>
                </c:pt>
                <c:pt idx="4">
                  <c:v>0.1</c:v>
                </c:pt>
                <c:pt idx="5">
                  <c:v>0.1</c:v>
                </c:pt>
                <c:pt idx="6">
                  <c:v>0.2</c:v>
                </c:pt>
                <c:pt idx="7">
                  <c:v>0.05</c:v>
                </c:pt>
                <c:pt idx="8">
                  <c:v>0.1</c:v>
                </c:pt>
                <c:pt idx="9">
                  <c:v>0.15</c:v>
                </c:pt>
                <c:pt idx="10">
                  <c:v>0.05</c:v>
                </c:pt>
                <c:pt idx="11">
                  <c:v>0.1</c:v>
                </c:pt>
                <c:pt idx="12">
                  <c:v>0.05</c:v>
                </c:pt>
                <c:pt idx="13">
                  <c:v>0.1</c:v>
                </c:pt>
                <c:pt idx="14">
                  <c:v>0.15</c:v>
                </c:pt>
                <c:pt idx="15">
                  <c:v>0.05</c:v>
                </c:pt>
                <c:pt idx="16">
                  <c:v>0.1</c:v>
                </c:pt>
                <c:pt idx="17">
                  <c:v>0.1</c:v>
                </c:pt>
                <c:pt idx="18">
                  <c:v>0.05</c:v>
                </c:pt>
                <c:pt idx="19">
                  <c:v>0.1</c:v>
                </c:pt>
              </c:numCache>
            </c:numRef>
          </c:xVal>
          <c:yVal>
            <c:numRef>
              <c:f>Sheet5!$Q$2:$Q$21</c:f>
              <c:numCache>
                <c:formatCode>General</c:formatCode>
                <c:ptCount val="20"/>
                <c:pt idx="0">
                  <c:v>219</c:v>
                </c:pt>
                <c:pt idx="1">
                  <c:v>999</c:v>
                </c:pt>
                <c:pt idx="2">
                  <c:v>799</c:v>
                </c:pt>
                <c:pt idx="3">
                  <c:v>849</c:v>
                </c:pt>
                <c:pt idx="4">
                  <c:v>279</c:v>
                </c:pt>
                <c:pt idx="5">
                  <c:v>449</c:v>
                </c:pt>
                <c:pt idx="6">
                  <c:v>599</c:v>
                </c:pt>
                <c:pt idx="7">
                  <c:v>799</c:v>
                </c:pt>
                <c:pt idx="8">
                  <c:v>399</c:v>
                </c:pt>
                <c:pt idx="9">
                  <c:v>549</c:v>
                </c:pt>
                <c:pt idx="10">
                  <c:v>399</c:v>
                </c:pt>
                <c:pt idx="11">
                  <c:v>299</c:v>
                </c:pt>
                <c:pt idx="12">
                  <c:v>549</c:v>
                </c:pt>
                <c:pt idx="13">
                  <c:v>449</c:v>
                </c:pt>
                <c:pt idx="14">
                  <c:v>749</c:v>
                </c:pt>
                <c:pt idx="15">
                  <c:v>399</c:v>
                </c:pt>
                <c:pt idx="16">
                  <c:v>499</c:v>
                </c:pt>
                <c:pt idx="17">
                  <c:v>649</c:v>
                </c:pt>
                <c:pt idx="18">
                  <c:v>599</c:v>
                </c:pt>
                <c:pt idx="19">
                  <c:v>319</c:v>
                </c:pt>
              </c:numCache>
            </c:numRef>
          </c:yVal>
          <c:smooth val="1"/>
          <c:extLst>
            <c:ext xmlns:c16="http://schemas.microsoft.com/office/drawing/2014/chart" uri="{C3380CC4-5D6E-409C-BE32-E72D297353CC}">
              <c16:uniqueId val="{00000000-12B0-4C65-B648-7CB754A7E1A7}"/>
            </c:ext>
          </c:extLst>
        </c:ser>
        <c:dLbls>
          <c:showLegendKey val="0"/>
          <c:showVal val="0"/>
          <c:showCatName val="0"/>
          <c:showSerName val="0"/>
          <c:showPercent val="0"/>
          <c:showBubbleSize val="0"/>
        </c:dLbls>
        <c:axId val="560922047"/>
        <c:axId val="454915695"/>
      </c:scatterChart>
      <c:valAx>
        <c:axId val="560922047"/>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454915695"/>
        <c:crosses val="autoZero"/>
        <c:crossBetween val="midCat"/>
      </c:valAx>
      <c:valAx>
        <c:axId val="4549156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60922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13.09.2026 Part2 Onwards.xlsx]Sheet6!PivotTable5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Sheet6!$B$3:$B$4</c:f>
              <c:strCache>
                <c:ptCount val="1"/>
                <c:pt idx="0">
                  <c:v>219</c:v>
                </c:pt>
              </c:strCache>
            </c:strRef>
          </c:tx>
          <c:spPr>
            <a:gradFill>
              <a:gsLst>
                <a:gs pos="100000">
                  <a:schemeClr val="accent1">
                    <a:alpha val="0"/>
                  </a:schemeClr>
                </a:gs>
                <a:gs pos="50000">
                  <a:schemeClr val="accent1"/>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Sheet6!$B$5:$B$17</c:f>
              <c:numCache>
                <c:formatCode>General</c:formatCode>
                <c:ptCount val="13"/>
                <c:pt idx="4">
                  <c:v>219</c:v>
                </c:pt>
              </c:numCache>
            </c:numRef>
          </c:val>
          <c:extLst>
            <c:ext xmlns:c16="http://schemas.microsoft.com/office/drawing/2014/chart" uri="{C3380CC4-5D6E-409C-BE32-E72D297353CC}">
              <c16:uniqueId val="{00000000-812B-442B-AB5E-99DEA9FA9FFA}"/>
            </c:ext>
          </c:extLst>
        </c:ser>
        <c:ser>
          <c:idx val="1"/>
          <c:order val="1"/>
          <c:tx>
            <c:strRef>
              <c:f>Sheet6!$C$3:$C$4</c:f>
              <c:strCache>
                <c:ptCount val="1"/>
                <c:pt idx="0">
                  <c:v>279</c:v>
                </c:pt>
              </c:strCache>
            </c:strRef>
          </c:tx>
          <c:spPr>
            <a:gradFill>
              <a:gsLst>
                <a:gs pos="100000">
                  <a:schemeClr val="accent2">
                    <a:alpha val="0"/>
                  </a:schemeClr>
                </a:gs>
                <a:gs pos="50000">
                  <a:schemeClr val="accent2"/>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Sheet6!$C$5:$C$17</c:f>
              <c:numCache>
                <c:formatCode>General</c:formatCode>
                <c:ptCount val="13"/>
                <c:pt idx="7">
                  <c:v>279</c:v>
                </c:pt>
              </c:numCache>
            </c:numRef>
          </c:val>
          <c:extLst>
            <c:ext xmlns:c16="http://schemas.microsoft.com/office/drawing/2014/chart" uri="{C3380CC4-5D6E-409C-BE32-E72D297353CC}">
              <c16:uniqueId val="{00000001-812B-442B-AB5E-99DEA9FA9FFA}"/>
            </c:ext>
          </c:extLst>
        </c:ser>
        <c:ser>
          <c:idx val="2"/>
          <c:order val="2"/>
          <c:tx>
            <c:strRef>
              <c:f>Sheet6!$D$3:$D$4</c:f>
              <c:strCache>
                <c:ptCount val="1"/>
                <c:pt idx="0">
                  <c:v>299</c:v>
                </c:pt>
              </c:strCache>
            </c:strRef>
          </c:tx>
          <c:spPr>
            <a:gradFill>
              <a:gsLst>
                <a:gs pos="100000">
                  <a:schemeClr val="accent3">
                    <a:alpha val="0"/>
                  </a:schemeClr>
                </a:gs>
                <a:gs pos="50000">
                  <a:schemeClr val="accent3"/>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Sheet6!$D$5:$D$17</c:f>
              <c:numCache>
                <c:formatCode>General</c:formatCode>
                <c:ptCount val="13"/>
                <c:pt idx="8">
                  <c:v>299</c:v>
                </c:pt>
              </c:numCache>
            </c:numRef>
          </c:val>
          <c:extLst>
            <c:ext xmlns:c16="http://schemas.microsoft.com/office/drawing/2014/chart" uri="{C3380CC4-5D6E-409C-BE32-E72D297353CC}">
              <c16:uniqueId val="{00000002-812B-442B-AB5E-99DEA9FA9FFA}"/>
            </c:ext>
          </c:extLst>
        </c:ser>
        <c:ser>
          <c:idx val="3"/>
          <c:order val="3"/>
          <c:tx>
            <c:strRef>
              <c:f>Sheet6!$E$3:$E$4</c:f>
              <c:strCache>
                <c:ptCount val="1"/>
                <c:pt idx="0">
                  <c:v>319</c:v>
                </c:pt>
              </c:strCache>
            </c:strRef>
          </c:tx>
          <c:spPr>
            <a:gradFill>
              <a:gsLst>
                <a:gs pos="100000">
                  <a:schemeClr val="accent4">
                    <a:alpha val="0"/>
                  </a:schemeClr>
                </a:gs>
                <a:gs pos="50000">
                  <a:schemeClr val="accent4"/>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Sheet6!$E$5:$E$17</c:f>
              <c:numCache>
                <c:formatCode>General</c:formatCode>
                <c:ptCount val="13"/>
                <c:pt idx="4">
                  <c:v>319</c:v>
                </c:pt>
              </c:numCache>
            </c:numRef>
          </c:val>
          <c:extLst>
            <c:ext xmlns:c16="http://schemas.microsoft.com/office/drawing/2014/chart" uri="{C3380CC4-5D6E-409C-BE32-E72D297353CC}">
              <c16:uniqueId val="{00000003-812B-442B-AB5E-99DEA9FA9FFA}"/>
            </c:ext>
          </c:extLst>
        </c:ser>
        <c:ser>
          <c:idx val="4"/>
          <c:order val="4"/>
          <c:tx>
            <c:strRef>
              <c:f>Sheet6!$F$3:$F$4</c:f>
              <c:strCache>
                <c:ptCount val="1"/>
                <c:pt idx="0">
                  <c:v>399</c:v>
                </c:pt>
              </c:strCache>
            </c:strRef>
          </c:tx>
          <c:spPr>
            <a:gradFill>
              <a:gsLst>
                <a:gs pos="100000">
                  <a:schemeClr val="accent5">
                    <a:alpha val="0"/>
                  </a:schemeClr>
                </a:gs>
                <a:gs pos="50000">
                  <a:schemeClr val="accent5"/>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Sheet6!$F$5:$F$17</c:f>
              <c:numCache>
                <c:formatCode>General</c:formatCode>
                <c:ptCount val="13"/>
                <c:pt idx="4">
                  <c:v>399</c:v>
                </c:pt>
                <c:pt idx="5">
                  <c:v>399</c:v>
                </c:pt>
                <c:pt idx="7">
                  <c:v>399</c:v>
                </c:pt>
              </c:numCache>
            </c:numRef>
          </c:val>
          <c:extLst>
            <c:ext xmlns:c16="http://schemas.microsoft.com/office/drawing/2014/chart" uri="{C3380CC4-5D6E-409C-BE32-E72D297353CC}">
              <c16:uniqueId val="{00000004-812B-442B-AB5E-99DEA9FA9FFA}"/>
            </c:ext>
          </c:extLst>
        </c:ser>
        <c:ser>
          <c:idx val="5"/>
          <c:order val="5"/>
          <c:tx>
            <c:strRef>
              <c:f>Sheet6!$G$3:$G$4</c:f>
              <c:strCache>
                <c:ptCount val="1"/>
                <c:pt idx="0">
                  <c:v>449</c:v>
                </c:pt>
              </c:strCache>
            </c:strRef>
          </c:tx>
          <c:spPr>
            <a:gradFill>
              <a:gsLst>
                <a:gs pos="100000">
                  <a:schemeClr val="accent6">
                    <a:alpha val="0"/>
                  </a:schemeClr>
                </a:gs>
                <a:gs pos="50000">
                  <a:schemeClr val="accent6"/>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Sheet6!$G$5:$G$17</c:f>
              <c:numCache>
                <c:formatCode>General</c:formatCode>
                <c:ptCount val="13"/>
                <c:pt idx="4">
                  <c:v>449</c:v>
                </c:pt>
                <c:pt idx="10">
                  <c:v>449</c:v>
                </c:pt>
              </c:numCache>
            </c:numRef>
          </c:val>
          <c:extLst>
            <c:ext xmlns:c16="http://schemas.microsoft.com/office/drawing/2014/chart" uri="{C3380CC4-5D6E-409C-BE32-E72D297353CC}">
              <c16:uniqueId val="{00000005-812B-442B-AB5E-99DEA9FA9FFA}"/>
            </c:ext>
          </c:extLst>
        </c:ser>
        <c:ser>
          <c:idx val="6"/>
          <c:order val="6"/>
          <c:tx>
            <c:strRef>
              <c:f>Sheet6!$H$3:$H$4</c:f>
              <c:strCache>
                <c:ptCount val="1"/>
                <c:pt idx="0">
                  <c:v>499</c:v>
                </c:pt>
              </c:strCache>
            </c:strRef>
          </c:tx>
          <c:spPr>
            <a:gradFill>
              <a:gsLst>
                <a:gs pos="100000">
                  <a:schemeClr val="accent1">
                    <a:lumMod val="60000"/>
                    <a:alpha val="0"/>
                  </a:schemeClr>
                </a:gs>
                <a:gs pos="50000">
                  <a:schemeClr val="accent1">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Sheet6!$H$5:$H$17</c:f>
              <c:numCache>
                <c:formatCode>General</c:formatCode>
                <c:ptCount val="13"/>
                <c:pt idx="10">
                  <c:v>499</c:v>
                </c:pt>
              </c:numCache>
            </c:numRef>
          </c:val>
          <c:extLst>
            <c:ext xmlns:c16="http://schemas.microsoft.com/office/drawing/2014/chart" uri="{C3380CC4-5D6E-409C-BE32-E72D297353CC}">
              <c16:uniqueId val="{00000006-812B-442B-AB5E-99DEA9FA9FFA}"/>
            </c:ext>
          </c:extLst>
        </c:ser>
        <c:ser>
          <c:idx val="7"/>
          <c:order val="7"/>
          <c:tx>
            <c:strRef>
              <c:f>Sheet6!$I$3:$I$4</c:f>
              <c:strCache>
                <c:ptCount val="1"/>
                <c:pt idx="0">
                  <c:v>549</c:v>
                </c:pt>
              </c:strCache>
            </c:strRef>
          </c:tx>
          <c:spPr>
            <a:gradFill>
              <a:gsLst>
                <a:gs pos="100000">
                  <a:schemeClr val="accent2">
                    <a:lumMod val="60000"/>
                    <a:alpha val="0"/>
                  </a:schemeClr>
                </a:gs>
                <a:gs pos="50000">
                  <a:schemeClr val="accent2">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Sheet6!$I$5:$I$17</c:f>
              <c:numCache>
                <c:formatCode>General</c:formatCode>
                <c:ptCount val="13"/>
                <c:pt idx="2">
                  <c:v>549</c:v>
                </c:pt>
                <c:pt idx="11">
                  <c:v>549</c:v>
                </c:pt>
              </c:numCache>
            </c:numRef>
          </c:val>
          <c:extLst>
            <c:ext xmlns:c16="http://schemas.microsoft.com/office/drawing/2014/chart" uri="{C3380CC4-5D6E-409C-BE32-E72D297353CC}">
              <c16:uniqueId val="{00000007-812B-442B-AB5E-99DEA9FA9FFA}"/>
            </c:ext>
          </c:extLst>
        </c:ser>
        <c:ser>
          <c:idx val="8"/>
          <c:order val="8"/>
          <c:tx>
            <c:strRef>
              <c:f>Sheet6!$J$3:$J$4</c:f>
              <c:strCache>
                <c:ptCount val="1"/>
                <c:pt idx="0">
                  <c:v>599</c:v>
                </c:pt>
              </c:strCache>
            </c:strRef>
          </c:tx>
          <c:spPr>
            <a:gradFill>
              <a:gsLst>
                <a:gs pos="100000">
                  <a:schemeClr val="accent3">
                    <a:lumMod val="60000"/>
                    <a:alpha val="0"/>
                  </a:schemeClr>
                </a:gs>
                <a:gs pos="50000">
                  <a:schemeClr val="accent3">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Sheet6!$J$5:$J$17</c:f>
              <c:numCache>
                <c:formatCode>General</c:formatCode>
                <c:ptCount val="13"/>
                <c:pt idx="6">
                  <c:v>599</c:v>
                </c:pt>
                <c:pt idx="12">
                  <c:v>599</c:v>
                </c:pt>
              </c:numCache>
            </c:numRef>
          </c:val>
          <c:extLst>
            <c:ext xmlns:c16="http://schemas.microsoft.com/office/drawing/2014/chart" uri="{C3380CC4-5D6E-409C-BE32-E72D297353CC}">
              <c16:uniqueId val="{00000008-812B-442B-AB5E-99DEA9FA9FFA}"/>
            </c:ext>
          </c:extLst>
        </c:ser>
        <c:ser>
          <c:idx val="9"/>
          <c:order val="9"/>
          <c:tx>
            <c:strRef>
              <c:f>Sheet6!$K$3:$K$4</c:f>
              <c:strCache>
                <c:ptCount val="1"/>
                <c:pt idx="0">
                  <c:v>649</c:v>
                </c:pt>
              </c:strCache>
            </c:strRef>
          </c:tx>
          <c:spPr>
            <a:gradFill>
              <a:gsLst>
                <a:gs pos="100000">
                  <a:schemeClr val="accent4">
                    <a:lumMod val="60000"/>
                    <a:alpha val="0"/>
                  </a:schemeClr>
                </a:gs>
                <a:gs pos="50000">
                  <a:schemeClr val="accent4">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Sheet6!$K$5:$K$17</c:f>
              <c:numCache>
                <c:formatCode>General</c:formatCode>
                <c:ptCount val="13"/>
                <c:pt idx="12">
                  <c:v>649</c:v>
                </c:pt>
              </c:numCache>
            </c:numRef>
          </c:val>
          <c:extLst>
            <c:ext xmlns:c16="http://schemas.microsoft.com/office/drawing/2014/chart" uri="{C3380CC4-5D6E-409C-BE32-E72D297353CC}">
              <c16:uniqueId val="{00000009-812B-442B-AB5E-99DEA9FA9FFA}"/>
            </c:ext>
          </c:extLst>
        </c:ser>
        <c:ser>
          <c:idx val="10"/>
          <c:order val="10"/>
          <c:tx>
            <c:strRef>
              <c:f>Sheet6!$L$3:$L$4</c:f>
              <c:strCache>
                <c:ptCount val="1"/>
                <c:pt idx="0">
                  <c:v>749</c:v>
                </c:pt>
              </c:strCache>
            </c:strRef>
          </c:tx>
          <c:spPr>
            <a:gradFill>
              <a:gsLst>
                <a:gs pos="100000">
                  <a:schemeClr val="accent5">
                    <a:lumMod val="60000"/>
                    <a:alpha val="0"/>
                  </a:schemeClr>
                </a:gs>
                <a:gs pos="50000">
                  <a:schemeClr val="accent5">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Sheet6!$L$5:$L$17</c:f>
              <c:numCache>
                <c:formatCode>General</c:formatCode>
                <c:ptCount val="13"/>
                <c:pt idx="0">
                  <c:v>749</c:v>
                </c:pt>
              </c:numCache>
            </c:numRef>
          </c:val>
          <c:extLst>
            <c:ext xmlns:c16="http://schemas.microsoft.com/office/drawing/2014/chart" uri="{C3380CC4-5D6E-409C-BE32-E72D297353CC}">
              <c16:uniqueId val="{0000000A-812B-442B-AB5E-99DEA9FA9FFA}"/>
            </c:ext>
          </c:extLst>
        </c:ser>
        <c:ser>
          <c:idx val="11"/>
          <c:order val="11"/>
          <c:tx>
            <c:strRef>
              <c:f>Sheet6!$M$3:$M$4</c:f>
              <c:strCache>
                <c:ptCount val="1"/>
                <c:pt idx="0">
                  <c:v>799</c:v>
                </c:pt>
              </c:strCache>
            </c:strRef>
          </c:tx>
          <c:spPr>
            <a:gradFill>
              <a:gsLst>
                <a:gs pos="100000">
                  <a:schemeClr val="accent6">
                    <a:lumMod val="60000"/>
                    <a:alpha val="0"/>
                  </a:schemeClr>
                </a:gs>
                <a:gs pos="50000">
                  <a:schemeClr val="accent6">
                    <a:lumMod val="6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Sheet6!$M$5:$M$17</c:f>
              <c:numCache>
                <c:formatCode>General</c:formatCode>
                <c:ptCount val="13"/>
                <c:pt idx="3">
                  <c:v>799</c:v>
                </c:pt>
                <c:pt idx="6">
                  <c:v>799</c:v>
                </c:pt>
              </c:numCache>
            </c:numRef>
          </c:val>
          <c:extLst>
            <c:ext xmlns:c16="http://schemas.microsoft.com/office/drawing/2014/chart" uri="{C3380CC4-5D6E-409C-BE32-E72D297353CC}">
              <c16:uniqueId val="{0000000B-812B-442B-AB5E-99DEA9FA9FFA}"/>
            </c:ext>
          </c:extLst>
        </c:ser>
        <c:ser>
          <c:idx val="12"/>
          <c:order val="12"/>
          <c:tx>
            <c:strRef>
              <c:f>Sheet6!$N$3:$N$4</c:f>
              <c:strCache>
                <c:ptCount val="1"/>
                <c:pt idx="0">
                  <c:v>849</c:v>
                </c:pt>
              </c:strCache>
            </c:strRef>
          </c:tx>
          <c:spPr>
            <a:gradFill>
              <a:gsLst>
                <a:gs pos="100000">
                  <a:schemeClr val="accent1">
                    <a:lumMod val="80000"/>
                    <a:lumOff val="20000"/>
                    <a:alpha val="0"/>
                  </a:schemeClr>
                </a:gs>
                <a:gs pos="50000">
                  <a:schemeClr val="accent1">
                    <a:lumMod val="80000"/>
                    <a:lumOff val="2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Sheet6!$N$5:$N$17</c:f>
              <c:numCache>
                <c:formatCode>General</c:formatCode>
                <c:ptCount val="13"/>
                <c:pt idx="9">
                  <c:v>849</c:v>
                </c:pt>
              </c:numCache>
            </c:numRef>
          </c:val>
          <c:extLst>
            <c:ext xmlns:c16="http://schemas.microsoft.com/office/drawing/2014/chart" uri="{C3380CC4-5D6E-409C-BE32-E72D297353CC}">
              <c16:uniqueId val="{0000000C-812B-442B-AB5E-99DEA9FA9FFA}"/>
            </c:ext>
          </c:extLst>
        </c:ser>
        <c:ser>
          <c:idx val="13"/>
          <c:order val="13"/>
          <c:tx>
            <c:strRef>
              <c:f>Sheet6!$O$3:$O$4</c:f>
              <c:strCache>
                <c:ptCount val="1"/>
                <c:pt idx="0">
                  <c:v>999</c:v>
                </c:pt>
              </c:strCache>
            </c:strRef>
          </c:tx>
          <c:spPr>
            <a:gradFill>
              <a:gsLst>
                <a:gs pos="100000">
                  <a:schemeClr val="accent2">
                    <a:lumMod val="80000"/>
                    <a:lumOff val="20000"/>
                    <a:alpha val="0"/>
                  </a:schemeClr>
                </a:gs>
                <a:gs pos="50000">
                  <a:schemeClr val="accent2">
                    <a:lumMod val="80000"/>
                    <a:lumOff val="20000"/>
                  </a:schemeClr>
                </a:gs>
              </a:gsLst>
              <a:lin ang="5400000" scaled="0"/>
            </a:gradFill>
            <a:ln>
              <a:noFill/>
            </a:ln>
            <a:effectLst/>
            <a:sp3d/>
          </c:spPr>
          <c:invertIfNegative val="0"/>
          <c:cat>
            <c:strRef>
              <c:f>Sheet6!$A$5:$A$17</c:f>
              <c:strCache>
                <c:ptCount val="13"/>
                <c:pt idx="0">
                  <c:v>Ahmedabad</c:v>
                </c:pt>
                <c:pt idx="1">
                  <c:v>Bangalore</c:v>
                </c:pt>
                <c:pt idx="2">
                  <c:v>Chandigarh</c:v>
                </c:pt>
                <c:pt idx="3">
                  <c:v>Chennai</c:v>
                </c:pt>
                <c:pt idx="4">
                  <c:v>Delhi</c:v>
                </c:pt>
                <c:pt idx="5">
                  <c:v>Gurgaon</c:v>
                </c:pt>
                <c:pt idx="6">
                  <c:v>Hyderabad</c:v>
                </c:pt>
                <c:pt idx="7">
                  <c:v>Jaipur</c:v>
                </c:pt>
                <c:pt idx="8">
                  <c:v>Kolkata</c:v>
                </c:pt>
                <c:pt idx="9">
                  <c:v>Lucknow</c:v>
                </c:pt>
                <c:pt idx="10">
                  <c:v>Mumbai</c:v>
                </c:pt>
                <c:pt idx="11">
                  <c:v>Noida</c:v>
                </c:pt>
                <c:pt idx="12">
                  <c:v>Pune</c:v>
                </c:pt>
              </c:strCache>
            </c:strRef>
          </c:cat>
          <c:val>
            <c:numRef>
              <c:f>Sheet6!$O$5:$O$17</c:f>
              <c:numCache>
                <c:formatCode>General</c:formatCode>
                <c:ptCount val="13"/>
                <c:pt idx="1">
                  <c:v>999</c:v>
                </c:pt>
              </c:numCache>
            </c:numRef>
          </c:val>
          <c:extLst>
            <c:ext xmlns:c16="http://schemas.microsoft.com/office/drawing/2014/chart" uri="{C3380CC4-5D6E-409C-BE32-E72D297353CC}">
              <c16:uniqueId val="{0000000D-812B-442B-AB5E-99DEA9FA9FFA}"/>
            </c:ext>
          </c:extLst>
        </c:ser>
        <c:dLbls>
          <c:showLegendKey val="0"/>
          <c:showVal val="0"/>
          <c:showCatName val="0"/>
          <c:showSerName val="0"/>
          <c:showPercent val="0"/>
          <c:showBubbleSize val="0"/>
        </c:dLbls>
        <c:gapWidth val="150"/>
        <c:gapDepth val="0"/>
        <c:shape val="box"/>
        <c:axId val="560910447"/>
        <c:axId val="454952175"/>
        <c:axId val="29117455"/>
      </c:bar3DChart>
      <c:catAx>
        <c:axId val="56091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52175"/>
        <c:crosses val="autoZero"/>
        <c:auto val="1"/>
        <c:lblAlgn val="ctr"/>
        <c:lblOffset val="100"/>
        <c:noMultiLvlLbl val="0"/>
      </c:catAx>
      <c:valAx>
        <c:axId val="45495217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10447"/>
        <c:crosses val="autoZero"/>
        <c:crossBetween val="between"/>
      </c:valAx>
      <c:serAx>
        <c:axId val="29117455"/>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521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701040</xdr:colOff>
      <xdr:row>1</xdr:row>
      <xdr:rowOff>166007</xdr:rowOff>
    </xdr:from>
    <xdr:to>
      <xdr:col>9</xdr:col>
      <xdr:colOff>424543</xdr:colOff>
      <xdr:row>16</xdr:row>
      <xdr:rowOff>166007</xdr:rowOff>
    </xdr:to>
    <xdr:graphicFrame macro="">
      <xdr:nvGraphicFramePr>
        <xdr:cNvPr id="2" name="Chart 1">
          <a:extLst>
            <a:ext uri="{FF2B5EF4-FFF2-40B4-BE49-F238E27FC236}">
              <a16:creationId xmlns:a16="http://schemas.microsoft.com/office/drawing/2014/main" id="{B34CB6EB-5A29-E24C-94DE-54C559F5A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598713</xdr:colOff>
      <xdr:row>1</xdr:row>
      <xdr:rowOff>174171</xdr:rowOff>
    </xdr:from>
    <xdr:to>
      <xdr:col>15</xdr:col>
      <xdr:colOff>468085</xdr:colOff>
      <xdr:row>16</xdr:row>
      <xdr:rowOff>44893</xdr:rowOff>
    </xdr:to>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3D77B4A0-AA35-9947-B6B2-3B877521279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9905999" y="359228"/>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571498</xdr:colOff>
      <xdr:row>1</xdr:row>
      <xdr:rowOff>168727</xdr:rowOff>
    </xdr:from>
    <xdr:to>
      <xdr:col>12</xdr:col>
      <xdr:colOff>440869</xdr:colOff>
      <xdr:row>16</xdr:row>
      <xdr:rowOff>39449</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6500294D-BF90-9740-1128-5E700E033E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19355" y="353784"/>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8</xdr:row>
      <xdr:rowOff>133350</xdr:rowOff>
    </xdr:from>
    <xdr:to>
      <xdr:col>10</xdr:col>
      <xdr:colOff>350520</xdr:colOff>
      <xdr:row>23</xdr:row>
      <xdr:rowOff>133350</xdr:rowOff>
    </xdr:to>
    <xdr:graphicFrame macro="">
      <xdr:nvGraphicFramePr>
        <xdr:cNvPr id="2" name="Chart 1">
          <a:extLst>
            <a:ext uri="{FF2B5EF4-FFF2-40B4-BE49-F238E27FC236}">
              <a16:creationId xmlns:a16="http://schemas.microsoft.com/office/drawing/2014/main" id="{08FE656C-A775-E96E-AB7B-791B31D28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114299</xdr:colOff>
      <xdr:row>9</xdr:row>
      <xdr:rowOff>27214</xdr:rowOff>
    </xdr:from>
    <xdr:to>
      <xdr:col>13</xdr:col>
      <xdr:colOff>636813</xdr:colOff>
      <xdr:row>23</xdr:row>
      <xdr:rowOff>82993</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CA9BC802-671B-673C-CAE1-712AE573393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501742" y="1692728"/>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8</xdr:row>
      <xdr:rowOff>133350</xdr:rowOff>
    </xdr:from>
    <xdr:to>
      <xdr:col>11</xdr:col>
      <xdr:colOff>571500</xdr:colOff>
      <xdr:row>23</xdr:row>
      <xdr:rowOff>133350</xdr:rowOff>
    </xdr:to>
    <xdr:graphicFrame macro="">
      <xdr:nvGraphicFramePr>
        <xdr:cNvPr id="2" name="Chart 1">
          <a:extLst>
            <a:ext uri="{FF2B5EF4-FFF2-40B4-BE49-F238E27FC236}">
              <a16:creationId xmlns:a16="http://schemas.microsoft.com/office/drawing/2014/main" id="{EB3DECDD-9707-FA30-43B0-0A94EF65F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163285</xdr:colOff>
      <xdr:row>9</xdr:row>
      <xdr:rowOff>21771</xdr:rowOff>
    </xdr:from>
    <xdr:to>
      <xdr:col>15</xdr:col>
      <xdr:colOff>32656</xdr:colOff>
      <xdr:row>23</xdr:row>
      <xdr:rowOff>77550</xdr:rowOff>
    </xdr:to>
    <mc:AlternateContent xmlns:mc="http://schemas.openxmlformats.org/markup-compatibility/2006">
      <mc:Choice xmlns:a14="http://schemas.microsoft.com/office/drawing/2010/main" Requires="a14">
        <xdr:graphicFrame macro="">
          <xdr:nvGraphicFramePr>
            <xdr:cNvPr id="3" name="Platform 1">
              <a:extLst>
                <a:ext uri="{FF2B5EF4-FFF2-40B4-BE49-F238E27FC236}">
                  <a16:creationId xmlns:a16="http://schemas.microsoft.com/office/drawing/2014/main" id="{E27D1F97-C61F-B7E6-E95C-8E03D7B2BE5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8392885" y="1687285"/>
              <a:ext cx="1828800" cy="264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205740</xdr:colOff>
      <xdr:row>5</xdr:row>
      <xdr:rowOff>110490</xdr:rowOff>
    </xdr:from>
    <xdr:to>
      <xdr:col>27</xdr:col>
      <xdr:colOff>228600</xdr:colOff>
      <xdr:row>23</xdr:row>
      <xdr:rowOff>68580</xdr:rowOff>
    </xdr:to>
    <xdr:graphicFrame macro="">
      <xdr:nvGraphicFramePr>
        <xdr:cNvPr id="2" name="Chart 1">
          <a:extLst>
            <a:ext uri="{FF2B5EF4-FFF2-40B4-BE49-F238E27FC236}">
              <a16:creationId xmlns:a16="http://schemas.microsoft.com/office/drawing/2014/main" id="{B390DD12-D802-C49D-763E-AED20C3B2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381000</xdr:colOff>
      <xdr:row>8</xdr:row>
      <xdr:rowOff>148590</xdr:rowOff>
    </xdr:from>
    <xdr:to>
      <xdr:col>22</xdr:col>
      <xdr:colOff>571500</xdr:colOff>
      <xdr:row>23</xdr:row>
      <xdr:rowOff>148590</xdr:rowOff>
    </xdr:to>
    <xdr:graphicFrame macro="">
      <xdr:nvGraphicFramePr>
        <xdr:cNvPr id="2" name="Chart 1">
          <a:extLst>
            <a:ext uri="{FF2B5EF4-FFF2-40B4-BE49-F238E27FC236}">
              <a16:creationId xmlns:a16="http://schemas.microsoft.com/office/drawing/2014/main" id="{B777673E-521A-6967-B356-EA1124068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8.645120370369" createdVersion="8" refreshedVersion="8" minRefreshableVersion="3" recordCount="20" xr:uid="{97F0CC5B-157C-4934-89F8-5880CF80ED83}">
  <cacheSource type="worksheet">
    <worksheetSource ref="A1:L21" sheet="Sheet1"/>
  </cacheSource>
  <cacheFields count="12">
    <cacheField name="Order_ID" numFmtId="0">
      <sharedItems/>
    </cacheField>
    <cacheField name="Order_Date" numFmtId="15">
      <sharedItems containsSemiMixedTypes="0" containsNonDate="0" containsDate="1" containsString="0" minDate="2026-01-08T00:00:00" maxDate="2026-01-18T00:00:00"/>
    </cacheField>
    <cacheField name="Platform" numFmtId="0">
      <sharedItems count="7">
        <s v="Instagram"/>
        <s v="Amazon"/>
        <s v="Flipkart"/>
        <s v="WhatsApp"/>
        <s v="Meesho"/>
        <s v="Myntra"/>
        <s v="Own Website"/>
      </sharedItems>
    </cacheField>
    <cacheField name="Product" numFmtId="0">
      <sharedItems/>
    </cacheField>
    <cacheField name="Category" numFmtId="0">
      <sharedItems count="5">
        <s v="Accessories"/>
        <s v="Footwear"/>
        <s v="Electronics"/>
        <s v="Clothing"/>
        <s v="Home Decor"/>
      </sharedItems>
    </cacheField>
    <cacheField name="City" numFmtId="0">
      <sharedItems count="13">
        <s v="Delhi"/>
        <s v="Bangalore"/>
        <s v="Hyderabad"/>
        <s v="Lucknow"/>
        <s v="Jaipur"/>
        <s v="Mumbai"/>
        <s v="Pune"/>
        <s v="Chennai"/>
        <s v="Noida"/>
        <s v="Gurgaon"/>
        <s v="Kolkata"/>
        <s v="Chandigarh"/>
        <s v="Ahmedabad"/>
      </sharedItems>
    </cacheField>
    <cacheField name="Quantity" numFmtId="0">
      <sharedItems containsSemiMixedTypes="0" containsString="0" containsNumber="1" containsInteger="1" minValue="1" maxValue="4"/>
    </cacheField>
    <cacheField name="Selling_Price" numFmtId="0">
      <sharedItems containsSemiMixedTypes="0" containsString="0" containsNumber="1" containsInteger="1" minValue="399" maxValue="2499" count="14">
        <n v="399"/>
        <n v="2499"/>
        <n v="1999"/>
        <n v="1799"/>
        <n v="499"/>
        <n v="899"/>
        <n v="1299"/>
        <n v="799"/>
        <n v="1099"/>
        <n v="699"/>
        <n v="599"/>
        <n v="1199"/>
        <n v="1599"/>
        <n v="999"/>
      </sharedItems>
    </cacheField>
    <cacheField name="Cost_Price" numFmtId="0">
      <sharedItems containsSemiMixedTypes="0" containsString="0" containsNumber="1" containsInteger="1" minValue="180" maxValue="1500"/>
    </cacheField>
    <cacheField name="Discount" numFmtId="9">
      <sharedItems containsSemiMixedTypes="0" containsString="0" containsNumber="1" minValue="0.05" maxValue="0.2"/>
    </cacheField>
    <cacheField name="Order_Status" numFmtId="0">
      <sharedItems count="2">
        <s v="Delivered"/>
        <s v="Returned"/>
      </sharedItems>
    </cacheField>
    <cacheField name="Return" numFmtId="0">
      <sharedItems/>
    </cacheField>
  </cacheFields>
  <extLst>
    <ext xmlns:x14="http://schemas.microsoft.com/office/spreadsheetml/2009/9/main" uri="{725AE2AE-9491-48be-B2B4-4EB974FC3084}">
      <x14:pivotCacheDefinition pivotCacheId="7259329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8.672379629628" createdVersion="8" refreshedVersion="8" minRefreshableVersion="3" recordCount="20" xr:uid="{ACA997D4-E9F2-4D94-90A5-5F0876CF7B97}">
  <cacheSource type="worksheet">
    <worksheetSource ref="A1:M21" sheet="Sheet1"/>
  </cacheSource>
  <cacheFields count="15">
    <cacheField name="Order_ID" numFmtId="0">
      <sharedItems/>
    </cacheField>
    <cacheField name="Order_Date" numFmtId="15">
      <sharedItems containsSemiMixedTypes="0" containsNonDate="0" containsDate="1" containsString="0" minDate="2026-01-09T00:00:00" maxDate="2026-12-18T00:00:00" count="13">
        <d v="2026-02-08T00:00:00"/>
        <d v="2026-01-09T00:00:00"/>
        <d v="2026-03-10T00:00:00"/>
        <d v="2026-01-10T00:00:00"/>
        <d v="2026-04-11T00:00:00"/>
        <d v="2026-01-11T00:00:00"/>
        <d v="2026-01-12T00:00:00"/>
        <d v="2026-05-12T00:00:00"/>
        <d v="2026-01-14T00:00:00"/>
        <d v="2026-07-15T00:00:00"/>
        <d v="2026-11-16T00:00:00"/>
        <d v="2026-12-17T00:00:00"/>
        <d v="2026-01-17T00:00:00"/>
      </sharedItems>
      <fieldGroup par="14"/>
    </cacheField>
    <cacheField name="Platform" numFmtId="0">
      <sharedItems count="7">
        <s v="Instagram"/>
        <s v="Amazon"/>
        <s v="Flipkart"/>
        <s v="WhatsApp"/>
        <s v="Meesho"/>
        <s v="Myntra"/>
        <s v="Own Website"/>
      </sharedItems>
    </cacheField>
    <cacheField name="Product" numFmtId="0">
      <sharedItems/>
    </cacheField>
    <cacheField name="Category" numFmtId="0">
      <sharedItems/>
    </cacheField>
    <cacheField name="City" numFmtId="0">
      <sharedItems count="13">
        <s v="Delhi"/>
        <s v="Bangalore"/>
        <s v="Hyderabad"/>
        <s v="Lucknow"/>
        <s v="Jaipur"/>
        <s v="Mumbai"/>
        <s v="Pune"/>
        <s v="Chennai"/>
        <s v="Noida"/>
        <s v="Gurgaon"/>
        <s v="Kolkata"/>
        <s v="Chandigarh"/>
        <s v="Ahmedabad"/>
      </sharedItems>
    </cacheField>
    <cacheField name="Quantity" numFmtId="0">
      <sharedItems containsSemiMixedTypes="0" containsString="0" containsNumber="1" containsInteger="1" minValue="1" maxValue="4"/>
    </cacheField>
    <cacheField name="Selling_Price" numFmtId="0">
      <sharedItems containsSemiMixedTypes="0" containsString="0" containsNumber="1" containsInteger="1" minValue="399" maxValue="2499"/>
    </cacheField>
    <cacheField name="Cost_Price" numFmtId="0">
      <sharedItems containsSemiMixedTypes="0" containsString="0" containsNumber="1" containsInteger="1" minValue="180" maxValue="1500"/>
    </cacheField>
    <cacheField name="Discount" numFmtId="9">
      <sharedItems containsSemiMixedTypes="0" containsString="0" containsNumber="1" minValue="0.05" maxValue="0.2" count="4">
        <n v="0.05"/>
        <n v="0.1"/>
        <n v="0.15"/>
        <n v="0.2"/>
      </sharedItems>
    </cacheField>
    <cacheField name="Order_Status" numFmtId="0">
      <sharedItems/>
    </cacheField>
    <cacheField name="Return" numFmtId="0">
      <sharedItems/>
    </cacheField>
    <cacheField name="Profit" numFmtId="0">
      <sharedItems containsSemiMixedTypes="0" containsString="0" containsNumber="1" containsInteger="1" minValue="219" maxValue="999" count="14">
        <n v="219"/>
        <n v="999"/>
        <n v="799"/>
        <n v="849"/>
        <n v="279"/>
        <n v="449"/>
        <n v="599"/>
        <n v="399"/>
        <n v="549"/>
        <n v="299"/>
        <n v="749"/>
        <n v="499"/>
        <n v="649"/>
        <n v="319"/>
      </sharedItems>
    </cacheField>
    <cacheField name="Days (Order_Date)" numFmtId="0" databaseField="0">
      <fieldGroup base="1">
        <rangePr groupBy="days" startDate="2026-01-09T00:00:00" endDate="2026-12-18T00:00:00"/>
        <groupItems count="368">
          <s v="&lt;1/9/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8/2026"/>
        </groupItems>
      </fieldGroup>
    </cacheField>
    <cacheField name="Months (Order_Date)" numFmtId="0" databaseField="0">
      <fieldGroup base="1">
        <rangePr groupBy="months" startDate="2026-01-09T00:00:00" endDate="2026-12-18T00:00:00"/>
        <groupItems count="14">
          <s v="&lt;1/9/2026"/>
          <s v="Jan"/>
          <s v="Feb"/>
          <s v="Mar"/>
          <s v="Apr"/>
          <s v="May"/>
          <s v="Jun"/>
          <s v="Jul"/>
          <s v="Aug"/>
          <s v="Sep"/>
          <s v="Oct"/>
          <s v="Nov"/>
          <s v="Dec"/>
          <s v="&gt;12/18/2026"/>
        </groupItems>
      </fieldGroup>
    </cacheField>
  </cacheFields>
  <extLst>
    <ext xmlns:x14="http://schemas.microsoft.com/office/spreadsheetml/2009/9/main" uri="{725AE2AE-9491-48be-B2B4-4EB974FC3084}">
      <x14:pivotCacheDefinition pivotCacheId="152066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06"/>
    <d v="2026-01-08T00:00:00"/>
    <x v="0"/>
    <s v="Mobile Cover"/>
    <x v="0"/>
    <x v="0"/>
    <n v="2"/>
    <x v="0"/>
    <n v="180"/>
    <n v="0.05"/>
    <x v="0"/>
    <s v="No"/>
  </r>
  <r>
    <s v="O1007"/>
    <d v="2026-01-08T00:00:00"/>
    <x v="1"/>
    <s v="Running Shoes"/>
    <x v="1"/>
    <x v="1"/>
    <n v="1"/>
    <x v="1"/>
    <n v="1500"/>
    <n v="0.1"/>
    <x v="0"/>
    <s v="No"/>
  </r>
  <r>
    <s v="O1008"/>
    <d v="2026-01-09T00:00:00"/>
    <x v="2"/>
    <s v="Smart Watch"/>
    <x v="2"/>
    <x v="2"/>
    <n v="2"/>
    <x v="2"/>
    <n v="1200"/>
    <n v="0.15"/>
    <x v="0"/>
    <s v="No"/>
  </r>
  <r>
    <s v="O1009"/>
    <d v="2026-01-09T00:00:00"/>
    <x v="3"/>
    <s v="Saree"/>
    <x v="3"/>
    <x v="3"/>
    <n v="1"/>
    <x v="3"/>
    <n v="950"/>
    <n v="0.05"/>
    <x v="0"/>
    <s v="No"/>
  </r>
  <r>
    <s v="O1010"/>
    <d v="2026-01-10T00:00:00"/>
    <x v="4"/>
    <s v="Cushion Cover"/>
    <x v="4"/>
    <x v="4"/>
    <n v="4"/>
    <x v="4"/>
    <n v="220"/>
    <n v="0.1"/>
    <x v="0"/>
    <s v="No"/>
  </r>
  <r>
    <s v="O1011"/>
    <d v="2026-01-10T00:00:00"/>
    <x v="0"/>
    <s v="Handbag"/>
    <x v="0"/>
    <x v="5"/>
    <n v="2"/>
    <x v="5"/>
    <n v="450"/>
    <n v="0.1"/>
    <x v="0"/>
    <s v="No"/>
  </r>
  <r>
    <s v="O1012"/>
    <d v="2026-01-11T00:00:00"/>
    <x v="5"/>
    <s v="Jeans"/>
    <x v="3"/>
    <x v="6"/>
    <n v="1"/>
    <x v="6"/>
    <n v="700"/>
    <n v="0.2"/>
    <x v="1"/>
    <s v="Yes"/>
  </r>
  <r>
    <s v="O1013"/>
    <d v="2026-01-11T00:00:00"/>
    <x v="1"/>
    <s v="Bluetooth Speaker"/>
    <x v="2"/>
    <x v="7"/>
    <n v="1"/>
    <x v="3"/>
    <n v="1000"/>
    <n v="0.05"/>
    <x v="0"/>
    <s v="No"/>
  </r>
  <r>
    <s v="O1014"/>
    <d v="2026-01-12T00:00:00"/>
    <x v="2"/>
    <s v="Backpack"/>
    <x v="0"/>
    <x v="0"/>
    <n v="3"/>
    <x v="7"/>
    <n v="400"/>
    <n v="0.1"/>
    <x v="0"/>
    <s v="No"/>
  </r>
  <r>
    <s v="O1015"/>
    <d v="2026-01-12T00:00:00"/>
    <x v="6"/>
    <s v="Kurti"/>
    <x v="3"/>
    <x v="8"/>
    <n v="2"/>
    <x v="8"/>
    <n v="550"/>
    <n v="0.15"/>
    <x v="0"/>
    <s v="No"/>
  </r>
  <r>
    <s v="O1016"/>
    <d v="2026-01-13T00:00:00"/>
    <x v="0"/>
    <s v="Wall Clock"/>
    <x v="4"/>
    <x v="9"/>
    <n v="1"/>
    <x v="9"/>
    <n v="300"/>
    <n v="0.05"/>
    <x v="0"/>
    <s v="No"/>
  </r>
  <r>
    <s v="O1017"/>
    <d v="2026-01-13T00:00:00"/>
    <x v="4"/>
    <s v="T-Shirt"/>
    <x v="3"/>
    <x v="10"/>
    <n v="3"/>
    <x v="10"/>
    <n v="300"/>
    <n v="0.1"/>
    <x v="0"/>
    <s v="No"/>
  </r>
  <r>
    <s v="O1018"/>
    <d v="2026-01-14T00:00:00"/>
    <x v="1"/>
    <s v="Laptop Bag"/>
    <x v="0"/>
    <x v="11"/>
    <n v="2"/>
    <x v="11"/>
    <n v="650"/>
    <n v="0.05"/>
    <x v="1"/>
    <s v="Yes"/>
  </r>
  <r>
    <s v="O1019"/>
    <d v="2026-01-14T00:00:00"/>
    <x v="3"/>
    <s v="Bedsheet"/>
    <x v="4"/>
    <x v="0"/>
    <n v="2"/>
    <x v="5"/>
    <n v="450"/>
    <n v="0.1"/>
    <x v="0"/>
    <s v="No"/>
  </r>
  <r>
    <s v="O1020"/>
    <d v="2026-01-15T00:00:00"/>
    <x v="2"/>
    <s v="Earbuds"/>
    <x v="2"/>
    <x v="12"/>
    <n v="1"/>
    <x v="12"/>
    <n v="850"/>
    <n v="0.15"/>
    <x v="0"/>
    <s v="No"/>
  </r>
  <r>
    <s v="O1021"/>
    <d v="2026-01-15T00:00:00"/>
    <x v="0"/>
    <s v="Sunglasses"/>
    <x v="0"/>
    <x v="4"/>
    <n v="3"/>
    <x v="9"/>
    <n v="300"/>
    <n v="0.05"/>
    <x v="0"/>
    <s v="No"/>
  </r>
  <r>
    <s v="O1022"/>
    <d v="2026-01-16T00:00:00"/>
    <x v="5"/>
    <s v="Shirt"/>
    <x v="3"/>
    <x v="5"/>
    <n v="2"/>
    <x v="13"/>
    <n v="500"/>
    <n v="0.1"/>
    <x v="0"/>
    <s v="No"/>
  </r>
  <r>
    <s v="O1023"/>
    <d v="2026-01-16T00:00:00"/>
    <x v="6"/>
    <s v="Table Lamp"/>
    <x v="4"/>
    <x v="6"/>
    <n v="1"/>
    <x v="6"/>
    <n v="650"/>
    <n v="0.1"/>
    <x v="0"/>
    <s v="No"/>
  </r>
  <r>
    <s v="O1024"/>
    <d v="2026-01-17T00:00:00"/>
    <x v="1"/>
    <s v="Power Bank"/>
    <x v="2"/>
    <x v="2"/>
    <n v="2"/>
    <x v="6"/>
    <n v="700"/>
    <n v="0.05"/>
    <x v="0"/>
    <s v="No"/>
  </r>
  <r>
    <s v="O1025"/>
    <d v="2026-01-17T00:00:00"/>
    <x v="0"/>
    <s v="Earrings"/>
    <x v="0"/>
    <x v="0"/>
    <n v="4"/>
    <x v="4"/>
    <n v="180"/>
    <n v="0.1"/>
    <x v="0"/>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06"/>
    <x v="0"/>
    <x v="0"/>
    <s v="Mobile Cover"/>
    <s v="Accessories"/>
    <x v="0"/>
    <n v="2"/>
    <n v="399"/>
    <n v="180"/>
    <x v="0"/>
    <s v="Delivered"/>
    <s v="No"/>
    <x v="0"/>
  </r>
  <r>
    <s v="O1007"/>
    <x v="0"/>
    <x v="1"/>
    <s v="Running Shoes"/>
    <s v="Footwear"/>
    <x v="1"/>
    <n v="1"/>
    <n v="2499"/>
    <n v="1500"/>
    <x v="1"/>
    <s v="Delivered"/>
    <s v="No"/>
    <x v="1"/>
  </r>
  <r>
    <s v="O1008"/>
    <x v="0"/>
    <x v="2"/>
    <s v="Smart Watch"/>
    <s v="Electronics"/>
    <x v="2"/>
    <n v="2"/>
    <n v="1999"/>
    <n v="1200"/>
    <x v="2"/>
    <s v="Delivered"/>
    <s v="No"/>
    <x v="2"/>
  </r>
  <r>
    <s v="O1009"/>
    <x v="1"/>
    <x v="3"/>
    <s v="Saree"/>
    <s v="Clothing"/>
    <x v="3"/>
    <n v="1"/>
    <n v="1799"/>
    <n v="950"/>
    <x v="0"/>
    <s v="Delivered"/>
    <s v="No"/>
    <x v="3"/>
  </r>
  <r>
    <s v="O1010"/>
    <x v="2"/>
    <x v="4"/>
    <s v="Cushion Cover"/>
    <s v="Home Decor"/>
    <x v="4"/>
    <n v="4"/>
    <n v="499"/>
    <n v="220"/>
    <x v="1"/>
    <s v="Delivered"/>
    <s v="No"/>
    <x v="4"/>
  </r>
  <r>
    <s v="O1011"/>
    <x v="3"/>
    <x v="0"/>
    <s v="Handbag"/>
    <s v="Accessories"/>
    <x v="5"/>
    <n v="2"/>
    <n v="899"/>
    <n v="450"/>
    <x v="1"/>
    <s v="Delivered"/>
    <s v="No"/>
    <x v="5"/>
  </r>
  <r>
    <s v="O1012"/>
    <x v="4"/>
    <x v="5"/>
    <s v="Jeans"/>
    <s v="Clothing"/>
    <x v="6"/>
    <n v="1"/>
    <n v="1299"/>
    <n v="700"/>
    <x v="3"/>
    <s v="Returned"/>
    <s v="Yes"/>
    <x v="6"/>
  </r>
  <r>
    <s v="O1013"/>
    <x v="5"/>
    <x v="1"/>
    <s v="Bluetooth Speaker"/>
    <s v="Electronics"/>
    <x v="7"/>
    <n v="1"/>
    <n v="1799"/>
    <n v="1000"/>
    <x v="0"/>
    <s v="Delivered"/>
    <s v="No"/>
    <x v="2"/>
  </r>
  <r>
    <s v="O1014"/>
    <x v="6"/>
    <x v="2"/>
    <s v="Backpack"/>
    <s v="Accessories"/>
    <x v="0"/>
    <n v="3"/>
    <n v="799"/>
    <n v="400"/>
    <x v="1"/>
    <s v="Delivered"/>
    <s v="No"/>
    <x v="7"/>
  </r>
  <r>
    <s v="O1015"/>
    <x v="7"/>
    <x v="6"/>
    <s v="Kurti"/>
    <s v="Clothing"/>
    <x v="8"/>
    <n v="2"/>
    <n v="1099"/>
    <n v="550"/>
    <x v="2"/>
    <s v="Delivered"/>
    <s v="No"/>
    <x v="8"/>
  </r>
  <r>
    <s v="O1016"/>
    <x v="7"/>
    <x v="0"/>
    <s v="Wall Clock"/>
    <s v="Home Decor"/>
    <x v="9"/>
    <n v="1"/>
    <n v="699"/>
    <n v="300"/>
    <x v="0"/>
    <s v="Delivered"/>
    <s v="No"/>
    <x v="7"/>
  </r>
  <r>
    <s v="O1017"/>
    <x v="7"/>
    <x v="4"/>
    <s v="T-Shirt"/>
    <s v="Clothing"/>
    <x v="10"/>
    <n v="3"/>
    <n v="599"/>
    <n v="300"/>
    <x v="1"/>
    <s v="Delivered"/>
    <s v="No"/>
    <x v="9"/>
  </r>
  <r>
    <s v="O1018"/>
    <x v="8"/>
    <x v="1"/>
    <s v="Laptop Bag"/>
    <s v="Accessories"/>
    <x v="11"/>
    <n v="2"/>
    <n v="1199"/>
    <n v="650"/>
    <x v="0"/>
    <s v="Returned"/>
    <s v="Yes"/>
    <x v="8"/>
  </r>
  <r>
    <s v="O1019"/>
    <x v="8"/>
    <x v="3"/>
    <s v="Bedsheet"/>
    <s v="Home Decor"/>
    <x v="0"/>
    <n v="2"/>
    <n v="899"/>
    <n v="450"/>
    <x v="1"/>
    <s v="Delivered"/>
    <s v="No"/>
    <x v="5"/>
  </r>
  <r>
    <s v="O1020"/>
    <x v="9"/>
    <x v="2"/>
    <s v="Earbuds"/>
    <s v="Electronics"/>
    <x v="12"/>
    <n v="1"/>
    <n v="1599"/>
    <n v="850"/>
    <x v="2"/>
    <s v="Delivered"/>
    <s v="No"/>
    <x v="10"/>
  </r>
  <r>
    <s v="O1021"/>
    <x v="9"/>
    <x v="0"/>
    <s v="Sunglasses"/>
    <s v="Accessories"/>
    <x v="4"/>
    <n v="3"/>
    <n v="699"/>
    <n v="300"/>
    <x v="0"/>
    <s v="Delivered"/>
    <s v="No"/>
    <x v="7"/>
  </r>
  <r>
    <s v="O1022"/>
    <x v="9"/>
    <x v="5"/>
    <s v="Shirt"/>
    <s v="Clothing"/>
    <x v="5"/>
    <n v="2"/>
    <n v="999"/>
    <n v="500"/>
    <x v="1"/>
    <s v="Delivered"/>
    <s v="No"/>
    <x v="11"/>
  </r>
  <r>
    <s v="O1023"/>
    <x v="10"/>
    <x v="6"/>
    <s v="Table Lamp"/>
    <s v="Home Decor"/>
    <x v="6"/>
    <n v="1"/>
    <n v="1299"/>
    <n v="650"/>
    <x v="1"/>
    <s v="Delivered"/>
    <s v="No"/>
    <x v="12"/>
  </r>
  <r>
    <s v="O1024"/>
    <x v="11"/>
    <x v="1"/>
    <s v="Power Bank"/>
    <s v="Electronics"/>
    <x v="2"/>
    <n v="2"/>
    <n v="1299"/>
    <n v="700"/>
    <x v="0"/>
    <s v="Delivered"/>
    <s v="No"/>
    <x v="6"/>
  </r>
  <r>
    <s v="O1025"/>
    <x v="12"/>
    <x v="0"/>
    <s v="Earrings"/>
    <s v="Accessories"/>
    <x v="0"/>
    <n v="4"/>
    <n v="499"/>
    <n v="180"/>
    <x v="1"/>
    <s v="Delivered"/>
    <s v="No"/>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698E0-B470-44AE-9196-663B5B016BA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A20"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dataField="1" showAll="0"/>
    <pivotField showAll="0"/>
    <pivotField showAll="0"/>
    <pivotField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of Quantity"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459C9A-F92C-45E6-A97D-AAE9E9D5F05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A17"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showAll="0"/>
    <pivotField showAll="0"/>
    <pivotField numFmtId="9"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EA896-B20C-4DE8-8F13-41995BAA13B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A14"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showAll="0"/>
    <pivotField showAll="0"/>
    <pivotField numFmtId="9"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of Profit" fld="1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827483-6428-4C5F-BA84-378DE5D195F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A11"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showAll="0"/>
    <pivotField showAll="0"/>
    <pivotField dataField="1"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Discount" fld="9"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791F24-C618-475C-B560-FCDE8B99B56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A8"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dataField="1" showAll="0"/>
    <pivotField showAll="0"/>
    <pivotField showAll="0"/>
    <pivotField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98F0D-9B19-4646-9069-3F0059117B0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A5" firstHeaderRow="1" firstDataRow="1" firstDataCol="0"/>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dataField="1" showAll="0"/>
    <pivotField showAll="0"/>
    <pivotField numFmtId="9"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elling_Pric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63F8A4-F1B5-4C70-A692-E5F0E8C6C9FB}"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6" firstHeaderRow="1" firstDataRow="1" firstDataCol="1"/>
  <pivotFields count="12">
    <pivotField showAll="0"/>
    <pivotField numFmtId="15" showAll="0"/>
    <pivotField showAll="0">
      <items count="8">
        <item x="1"/>
        <item x="2"/>
        <item x="0"/>
        <item x="4"/>
        <item x="5"/>
        <item x="6"/>
        <item x="3"/>
        <item t="default"/>
      </items>
    </pivotField>
    <pivotField showAll="0"/>
    <pivotField showAll="0">
      <items count="6">
        <item x="0"/>
        <item x="3"/>
        <item x="2"/>
        <item x="1"/>
        <item x="4"/>
        <item t="default"/>
      </items>
    </pivotField>
    <pivotField axis="axisRow" showAll="0">
      <items count="14">
        <item x="12"/>
        <item x="1"/>
        <item x="11"/>
        <item x="7"/>
        <item x="0"/>
        <item x="9"/>
        <item x="2"/>
        <item x="4"/>
        <item x="10"/>
        <item x="3"/>
        <item x="5"/>
        <item x="8"/>
        <item x="6"/>
        <item t="default"/>
      </items>
    </pivotField>
    <pivotField showAll="0"/>
    <pivotField dataField="1" showAll="0"/>
    <pivotField showAll="0"/>
    <pivotField numFmtId="9" showAll="0"/>
    <pivotField showAll="0"/>
    <pivotField showAll="0"/>
  </pivotFields>
  <rowFields count="1">
    <field x="5"/>
  </rowFields>
  <rowItems count="13">
    <i>
      <x/>
    </i>
    <i>
      <x v="1"/>
    </i>
    <i>
      <x v="2"/>
    </i>
    <i>
      <x v="3"/>
    </i>
    <i>
      <x v="4"/>
    </i>
    <i>
      <x v="5"/>
    </i>
    <i>
      <x v="6"/>
    </i>
    <i>
      <x v="7"/>
    </i>
    <i>
      <x v="8"/>
    </i>
    <i>
      <x v="9"/>
    </i>
    <i>
      <x v="10"/>
    </i>
    <i>
      <x v="11"/>
    </i>
    <i>
      <x v="12"/>
    </i>
  </rowItems>
  <colItems count="1">
    <i/>
  </colItems>
  <dataFields count="1">
    <dataField name="Sum of Selling_Price" fld="7"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756343-1060-49D5-ADB6-6925AB171312}"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8" firstHeaderRow="1" firstDataRow="2" firstDataCol="1"/>
  <pivotFields count="12">
    <pivotField showAll="0"/>
    <pivotField numFmtId="15" showAll="0"/>
    <pivotField showAll="0"/>
    <pivotField showAll="0"/>
    <pivotField showAll="0"/>
    <pivotField showAll="0">
      <items count="14">
        <item x="12"/>
        <item x="1"/>
        <item x="11"/>
        <item x="7"/>
        <item x="0"/>
        <item x="9"/>
        <item x="2"/>
        <item x="4"/>
        <item x="10"/>
        <item x="3"/>
        <item x="5"/>
        <item x="8"/>
        <item x="6"/>
        <item t="default"/>
      </items>
    </pivotField>
    <pivotField showAll="0"/>
    <pivotField axis="axisRow" showAll="0">
      <items count="15">
        <item x="0"/>
        <item x="4"/>
        <item x="10"/>
        <item x="9"/>
        <item x="7"/>
        <item x="5"/>
        <item x="13"/>
        <item x="8"/>
        <item x="11"/>
        <item x="6"/>
        <item x="12"/>
        <item x="3"/>
        <item x="2"/>
        <item x="1"/>
        <item t="default"/>
      </items>
    </pivotField>
    <pivotField showAll="0"/>
    <pivotField numFmtId="9" showAll="0"/>
    <pivotField axis="axisCol" dataField="1" showAll="0">
      <items count="3">
        <item x="0"/>
        <item x="1"/>
        <item t="default"/>
      </items>
    </pivotField>
    <pivotField showAll="0"/>
  </pivotFields>
  <rowFields count="1">
    <field x="7"/>
  </rowFields>
  <rowItems count="14">
    <i>
      <x/>
    </i>
    <i>
      <x v="1"/>
    </i>
    <i>
      <x v="2"/>
    </i>
    <i>
      <x v="3"/>
    </i>
    <i>
      <x v="4"/>
    </i>
    <i>
      <x v="5"/>
    </i>
    <i>
      <x v="6"/>
    </i>
    <i>
      <x v="7"/>
    </i>
    <i>
      <x v="8"/>
    </i>
    <i>
      <x v="9"/>
    </i>
    <i>
      <x v="10"/>
    </i>
    <i>
      <x v="11"/>
    </i>
    <i>
      <x v="12"/>
    </i>
    <i>
      <x v="13"/>
    </i>
  </rowItems>
  <colFields count="1">
    <field x="10"/>
  </colFields>
  <colItems count="2">
    <i>
      <x/>
    </i>
    <i>
      <x v="1"/>
    </i>
  </colItems>
  <dataFields count="1">
    <dataField name="Count of Order_Status" fld="10" subtotal="count" baseField="0" baseItem="0"/>
  </dataFields>
  <chartFormats count="31">
    <chartFormat chart="5" format="0" series="1">
      <pivotArea type="data" outline="0" fieldPosition="0">
        <references count="2">
          <reference field="4294967294" count="1" selected="0">
            <x v="0"/>
          </reference>
          <reference field="10" count="1" selected="0">
            <x v="0"/>
          </reference>
        </references>
      </pivotArea>
    </chartFormat>
    <chartFormat chart="5" format="1" series="1">
      <pivotArea type="data" outline="0" fieldPosition="0">
        <references count="2">
          <reference field="4294967294" count="1" selected="0">
            <x v="0"/>
          </reference>
          <reference field="10" count="1" selected="0">
            <x v="1"/>
          </reference>
        </references>
      </pivotArea>
    </chartFormat>
    <chartFormat chart="5" format="2">
      <pivotArea type="data" outline="0" fieldPosition="0">
        <references count="3">
          <reference field="4294967294" count="1" selected="0">
            <x v="0"/>
          </reference>
          <reference field="7" count="1" selected="0">
            <x v="0"/>
          </reference>
          <reference field="10" count="1" selected="0">
            <x v="0"/>
          </reference>
        </references>
      </pivotArea>
    </chartFormat>
    <chartFormat chart="5" format="3">
      <pivotArea type="data" outline="0" fieldPosition="0">
        <references count="3">
          <reference field="4294967294" count="1" selected="0">
            <x v="0"/>
          </reference>
          <reference field="7" count="1" selected="0">
            <x v="1"/>
          </reference>
          <reference field="10" count="1" selected="0">
            <x v="0"/>
          </reference>
        </references>
      </pivotArea>
    </chartFormat>
    <chartFormat chart="5" format="4">
      <pivotArea type="data" outline="0" fieldPosition="0">
        <references count="3">
          <reference field="4294967294" count="1" selected="0">
            <x v="0"/>
          </reference>
          <reference field="7" count="1" selected="0">
            <x v="2"/>
          </reference>
          <reference field="10" count="1" selected="0">
            <x v="0"/>
          </reference>
        </references>
      </pivotArea>
    </chartFormat>
    <chartFormat chart="5" format="5">
      <pivotArea type="data" outline="0" fieldPosition="0">
        <references count="3">
          <reference field="4294967294" count="1" selected="0">
            <x v="0"/>
          </reference>
          <reference field="7" count="1" selected="0">
            <x v="3"/>
          </reference>
          <reference field="10" count="1" selected="0">
            <x v="0"/>
          </reference>
        </references>
      </pivotArea>
    </chartFormat>
    <chartFormat chart="5" format="6">
      <pivotArea type="data" outline="0" fieldPosition="0">
        <references count="3">
          <reference field="4294967294" count="1" selected="0">
            <x v="0"/>
          </reference>
          <reference field="7" count="1" selected="0">
            <x v="4"/>
          </reference>
          <reference field="10" count="1" selected="0">
            <x v="0"/>
          </reference>
        </references>
      </pivotArea>
    </chartFormat>
    <chartFormat chart="5" format="7">
      <pivotArea type="data" outline="0" fieldPosition="0">
        <references count="3">
          <reference field="4294967294" count="1" selected="0">
            <x v="0"/>
          </reference>
          <reference field="7" count="1" selected="0">
            <x v="5"/>
          </reference>
          <reference field="10" count="1" selected="0">
            <x v="0"/>
          </reference>
        </references>
      </pivotArea>
    </chartFormat>
    <chartFormat chart="5" format="8">
      <pivotArea type="data" outline="0" fieldPosition="0">
        <references count="3">
          <reference field="4294967294" count="1" selected="0">
            <x v="0"/>
          </reference>
          <reference field="7" count="1" selected="0">
            <x v="6"/>
          </reference>
          <reference field="10" count="1" selected="0">
            <x v="0"/>
          </reference>
        </references>
      </pivotArea>
    </chartFormat>
    <chartFormat chart="5" format="9">
      <pivotArea type="data" outline="0" fieldPosition="0">
        <references count="3">
          <reference field="4294967294" count="1" selected="0">
            <x v="0"/>
          </reference>
          <reference field="7" count="1" selected="0">
            <x v="7"/>
          </reference>
          <reference field="10" count="1" selected="0">
            <x v="0"/>
          </reference>
        </references>
      </pivotArea>
    </chartFormat>
    <chartFormat chart="5" format="10">
      <pivotArea type="data" outline="0" fieldPosition="0">
        <references count="3">
          <reference field="4294967294" count="1" selected="0">
            <x v="0"/>
          </reference>
          <reference field="7" count="1" selected="0">
            <x v="8"/>
          </reference>
          <reference field="10" count="1" selected="0">
            <x v="0"/>
          </reference>
        </references>
      </pivotArea>
    </chartFormat>
    <chartFormat chart="5" format="11">
      <pivotArea type="data" outline="0" fieldPosition="0">
        <references count="3">
          <reference field="4294967294" count="1" selected="0">
            <x v="0"/>
          </reference>
          <reference field="7" count="1" selected="0">
            <x v="9"/>
          </reference>
          <reference field="10" count="1" selected="0">
            <x v="0"/>
          </reference>
        </references>
      </pivotArea>
    </chartFormat>
    <chartFormat chart="5" format="12">
      <pivotArea type="data" outline="0" fieldPosition="0">
        <references count="3">
          <reference field="4294967294" count="1" selected="0">
            <x v="0"/>
          </reference>
          <reference field="7" count="1" selected="0">
            <x v="10"/>
          </reference>
          <reference field="10" count="1" selected="0">
            <x v="0"/>
          </reference>
        </references>
      </pivotArea>
    </chartFormat>
    <chartFormat chart="5" format="13">
      <pivotArea type="data" outline="0" fieldPosition="0">
        <references count="3">
          <reference field="4294967294" count="1" selected="0">
            <x v="0"/>
          </reference>
          <reference field="7" count="1" selected="0">
            <x v="11"/>
          </reference>
          <reference field="10" count="1" selected="0">
            <x v="0"/>
          </reference>
        </references>
      </pivotArea>
    </chartFormat>
    <chartFormat chart="5" format="14">
      <pivotArea type="data" outline="0" fieldPosition="0">
        <references count="3">
          <reference field="4294967294" count="1" selected="0">
            <x v="0"/>
          </reference>
          <reference field="7" count="1" selected="0">
            <x v="12"/>
          </reference>
          <reference field="10" count="1" selected="0">
            <x v="0"/>
          </reference>
        </references>
      </pivotArea>
    </chartFormat>
    <chartFormat chart="5" format="15">
      <pivotArea type="data" outline="0" fieldPosition="0">
        <references count="3">
          <reference field="4294967294" count="1" selected="0">
            <x v="0"/>
          </reference>
          <reference field="7" count="1" selected="0">
            <x v="13"/>
          </reference>
          <reference field="10" count="1" selected="0">
            <x v="0"/>
          </reference>
        </references>
      </pivotArea>
    </chartFormat>
    <chartFormat chart="5" format="16">
      <pivotArea type="data" outline="0" fieldPosition="0">
        <references count="3">
          <reference field="4294967294" count="1" selected="0">
            <x v="0"/>
          </reference>
          <reference field="7" count="1" selected="0">
            <x v="0"/>
          </reference>
          <reference field="10" count="1" selected="0">
            <x v="1"/>
          </reference>
        </references>
      </pivotArea>
    </chartFormat>
    <chartFormat chart="5" format="17">
      <pivotArea type="data" outline="0" fieldPosition="0">
        <references count="3">
          <reference field="4294967294" count="1" selected="0">
            <x v="0"/>
          </reference>
          <reference field="7" count="1" selected="0">
            <x v="1"/>
          </reference>
          <reference field="10" count="1" selected="0">
            <x v="1"/>
          </reference>
        </references>
      </pivotArea>
    </chartFormat>
    <chartFormat chart="5" format="18">
      <pivotArea type="data" outline="0" fieldPosition="0">
        <references count="3">
          <reference field="4294967294" count="1" selected="0">
            <x v="0"/>
          </reference>
          <reference field="7" count="1" selected="0">
            <x v="2"/>
          </reference>
          <reference field="10" count="1" selected="0">
            <x v="1"/>
          </reference>
        </references>
      </pivotArea>
    </chartFormat>
    <chartFormat chart="5" format="19">
      <pivotArea type="data" outline="0" fieldPosition="0">
        <references count="3">
          <reference field="4294967294" count="1" selected="0">
            <x v="0"/>
          </reference>
          <reference field="7" count="1" selected="0">
            <x v="3"/>
          </reference>
          <reference field="10" count="1" selected="0">
            <x v="1"/>
          </reference>
        </references>
      </pivotArea>
    </chartFormat>
    <chartFormat chart="5" format="20">
      <pivotArea type="data" outline="0" fieldPosition="0">
        <references count="3">
          <reference field="4294967294" count="1" selected="0">
            <x v="0"/>
          </reference>
          <reference field="7" count="1" selected="0">
            <x v="4"/>
          </reference>
          <reference field="10" count="1" selected="0">
            <x v="1"/>
          </reference>
        </references>
      </pivotArea>
    </chartFormat>
    <chartFormat chart="5" format="21">
      <pivotArea type="data" outline="0" fieldPosition="0">
        <references count="3">
          <reference field="4294967294" count="1" selected="0">
            <x v="0"/>
          </reference>
          <reference field="7" count="1" selected="0">
            <x v="5"/>
          </reference>
          <reference field="10" count="1" selected="0">
            <x v="1"/>
          </reference>
        </references>
      </pivotArea>
    </chartFormat>
    <chartFormat chart="5" format="22">
      <pivotArea type="data" outline="0" fieldPosition="0">
        <references count="3">
          <reference field="4294967294" count="1" selected="0">
            <x v="0"/>
          </reference>
          <reference field="7" count="1" selected="0">
            <x v="6"/>
          </reference>
          <reference field="10" count="1" selected="0">
            <x v="1"/>
          </reference>
        </references>
      </pivotArea>
    </chartFormat>
    <chartFormat chart="5" format="23">
      <pivotArea type="data" outline="0" fieldPosition="0">
        <references count="3">
          <reference field="4294967294" count="1" selected="0">
            <x v="0"/>
          </reference>
          <reference field="7" count="1" selected="0">
            <x v="7"/>
          </reference>
          <reference field="10" count="1" selected="0">
            <x v="1"/>
          </reference>
        </references>
      </pivotArea>
    </chartFormat>
    <chartFormat chart="5" format="24">
      <pivotArea type="data" outline="0" fieldPosition="0">
        <references count="3">
          <reference field="4294967294" count="1" selected="0">
            <x v="0"/>
          </reference>
          <reference field="7" count="1" selected="0">
            <x v="8"/>
          </reference>
          <reference field="10" count="1" selected="0">
            <x v="1"/>
          </reference>
        </references>
      </pivotArea>
    </chartFormat>
    <chartFormat chart="5" format="25">
      <pivotArea type="data" outline="0" fieldPosition="0">
        <references count="3">
          <reference field="4294967294" count="1" selected="0">
            <x v="0"/>
          </reference>
          <reference field="7" count="1" selected="0">
            <x v="9"/>
          </reference>
          <reference field="10" count="1" selected="0">
            <x v="1"/>
          </reference>
        </references>
      </pivotArea>
    </chartFormat>
    <chartFormat chart="5" format="26">
      <pivotArea type="data" outline="0" fieldPosition="0">
        <references count="3">
          <reference field="4294967294" count="1" selected="0">
            <x v="0"/>
          </reference>
          <reference field="7" count="1" selected="0">
            <x v="10"/>
          </reference>
          <reference field="10" count="1" selected="0">
            <x v="1"/>
          </reference>
        </references>
      </pivotArea>
    </chartFormat>
    <chartFormat chart="5" format="27">
      <pivotArea type="data" outline="0" fieldPosition="0">
        <references count="3">
          <reference field="4294967294" count="1" selected="0">
            <x v="0"/>
          </reference>
          <reference field="7" count="1" selected="0">
            <x v="11"/>
          </reference>
          <reference field="10" count="1" selected="0">
            <x v="1"/>
          </reference>
        </references>
      </pivotArea>
    </chartFormat>
    <chartFormat chart="5" format="28">
      <pivotArea type="data" outline="0" fieldPosition="0">
        <references count="3">
          <reference field="4294967294" count="1" selected="0">
            <x v="0"/>
          </reference>
          <reference field="7" count="1" selected="0">
            <x v="12"/>
          </reference>
          <reference field="10" count="1" selected="0">
            <x v="1"/>
          </reference>
        </references>
      </pivotArea>
    </chartFormat>
    <chartFormat chart="5" format="29">
      <pivotArea type="data" outline="0" fieldPosition="0">
        <references count="3">
          <reference field="4294967294" count="1" selected="0">
            <x v="0"/>
          </reference>
          <reference field="7" count="1" selected="0">
            <x v="13"/>
          </reference>
          <reference field="10" count="1" selected="0">
            <x v="1"/>
          </reference>
        </references>
      </pivotArea>
    </chartFormat>
    <chartFormat chart="5"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3BE9C5-4723-4BCD-BB39-1F108DDA7C1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5">
    <pivotField showAll="0"/>
    <pivotField numFmtId="15" showAll="0">
      <items count="14">
        <item x="1"/>
        <item x="3"/>
        <item x="5"/>
        <item x="6"/>
        <item x="8"/>
        <item x="12"/>
        <item x="0"/>
        <item x="2"/>
        <item x="4"/>
        <item x="7"/>
        <item x="9"/>
        <item x="10"/>
        <item x="11"/>
        <item t="default"/>
      </items>
    </pivotField>
    <pivotField showAll="0">
      <items count="8">
        <item x="1"/>
        <item x="2"/>
        <item x="0"/>
        <item x="4"/>
        <item x="5"/>
        <item x="6"/>
        <item x="3"/>
        <item t="default"/>
      </items>
    </pivotField>
    <pivotField showAll="0"/>
    <pivotField showAll="0"/>
    <pivotField showAll="0"/>
    <pivotField showAll="0"/>
    <pivotField showAll="0"/>
    <pivotField showAll="0"/>
    <pivotField numFmtId="9"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9">
    <i>
      <x v="1"/>
    </i>
    <i>
      <x v="2"/>
    </i>
    <i>
      <x v="3"/>
    </i>
    <i>
      <x v="4"/>
    </i>
    <i>
      <x v="5"/>
    </i>
    <i>
      <x v="7"/>
    </i>
    <i>
      <x v="11"/>
    </i>
    <i>
      <x v="12"/>
    </i>
    <i t="grand">
      <x/>
    </i>
  </rowItems>
  <colItems count="1">
    <i/>
  </colItems>
  <dataFields count="1">
    <dataField name="Sum of Profit" fld="1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C5B62C-E477-4EE3-B572-AF951C9AB983}"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O8" firstHeaderRow="1" firstDataRow="2"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showAll="0"/>
    <pivotField showAll="0"/>
    <pivotField showAll="0"/>
    <pivotField showAll="0"/>
    <pivotField axis="axisRow" numFmtId="9" showAll="0">
      <items count="5">
        <item x="0"/>
        <item x="1"/>
        <item x="2"/>
        <item x="3"/>
        <item t="default"/>
      </items>
    </pivotField>
    <pivotField showAll="0"/>
    <pivotField showAll="0"/>
    <pivotField axis="axisCol" dataField="1" showAll="0">
      <items count="15">
        <item x="0"/>
        <item x="4"/>
        <item x="9"/>
        <item x="13"/>
        <item x="7"/>
        <item x="5"/>
        <item x="11"/>
        <item x="8"/>
        <item x="6"/>
        <item x="12"/>
        <item x="10"/>
        <item x="2"/>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x v="3"/>
    </i>
  </rowItems>
  <colFields count="1">
    <field x="12"/>
  </colFields>
  <colItems count="14">
    <i>
      <x/>
    </i>
    <i>
      <x v="1"/>
    </i>
    <i>
      <x v="2"/>
    </i>
    <i>
      <x v="3"/>
    </i>
    <i>
      <x v="4"/>
    </i>
    <i>
      <x v="5"/>
    </i>
    <i>
      <x v="6"/>
    </i>
    <i>
      <x v="7"/>
    </i>
    <i>
      <x v="8"/>
    </i>
    <i>
      <x v="9"/>
    </i>
    <i>
      <x v="10"/>
    </i>
    <i>
      <x v="11"/>
    </i>
    <i>
      <x v="12"/>
    </i>
    <i>
      <x v="13"/>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5C4566-32EF-4D59-9E78-930B7E367A85}"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O17" firstHeaderRow="1" firstDataRow="2" firstDataCol="1"/>
  <pivotFields count="15">
    <pivotField showAll="0"/>
    <pivotField numFmtId="15" showAll="0">
      <items count="14">
        <item x="1"/>
        <item x="3"/>
        <item x="5"/>
        <item x="6"/>
        <item x="8"/>
        <item x="12"/>
        <item x="0"/>
        <item x="2"/>
        <item x="4"/>
        <item x="7"/>
        <item x="9"/>
        <item x="10"/>
        <item x="11"/>
        <item t="default"/>
      </items>
    </pivotField>
    <pivotField showAll="0"/>
    <pivotField showAll="0"/>
    <pivotField showAll="0"/>
    <pivotField axis="axisRow" showAll="0">
      <items count="14">
        <item x="12"/>
        <item x="1"/>
        <item x="11"/>
        <item x="7"/>
        <item x="0"/>
        <item x="9"/>
        <item x="2"/>
        <item x="4"/>
        <item x="10"/>
        <item x="3"/>
        <item x="5"/>
        <item x="8"/>
        <item x="6"/>
        <item t="default"/>
      </items>
    </pivotField>
    <pivotField showAll="0"/>
    <pivotField showAll="0"/>
    <pivotField showAll="0"/>
    <pivotField numFmtId="9" showAll="0"/>
    <pivotField showAll="0"/>
    <pivotField showAll="0"/>
    <pivotField axis="axisCol" dataField="1" showAll="0">
      <items count="15">
        <item x="0"/>
        <item x="4"/>
        <item x="9"/>
        <item x="13"/>
        <item x="7"/>
        <item x="5"/>
        <item x="11"/>
        <item x="8"/>
        <item x="6"/>
        <item x="12"/>
        <item x="10"/>
        <item x="2"/>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3">
    <i>
      <x/>
    </i>
    <i>
      <x v="1"/>
    </i>
    <i>
      <x v="2"/>
    </i>
    <i>
      <x v="3"/>
    </i>
    <i>
      <x v="4"/>
    </i>
    <i>
      <x v="5"/>
    </i>
    <i>
      <x v="6"/>
    </i>
    <i>
      <x v="7"/>
    </i>
    <i>
      <x v="8"/>
    </i>
    <i>
      <x v="9"/>
    </i>
    <i>
      <x v="10"/>
    </i>
    <i>
      <x v="11"/>
    </i>
    <i>
      <x v="12"/>
    </i>
  </rowItems>
  <colFields count="1">
    <field x="12"/>
  </colFields>
  <colItems count="14">
    <i>
      <x/>
    </i>
    <i>
      <x v="1"/>
    </i>
    <i>
      <x v="2"/>
    </i>
    <i>
      <x v="3"/>
    </i>
    <i>
      <x v="4"/>
    </i>
    <i>
      <x v="5"/>
    </i>
    <i>
      <x v="6"/>
    </i>
    <i>
      <x v="7"/>
    </i>
    <i>
      <x v="8"/>
    </i>
    <i>
      <x v="9"/>
    </i>
    <i>
      <x v="10"/>
    </i>
    <i>
      <x v="11"/>
    </i>
    <i>
      <x v="12"/>
    </i>
    <i>
      <x v="13"/>
    </i>
  </colItems>
  <dataFields count="1">
    <dataField name="Sum of Profit" fld="12" baseField="0" baseItem="0"/>
  </dataFields>
  <chartFormats count="1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 chart="0" format="11" series="1">
      <pivotArea type="data" outline="0" fieldPosition="0">
        <references count="2">
          <reference field="4294967294" count="1" selected="0">
            <x v="0"/>
          </reference>
          <reference field="12" count="1" selected="0">
            <x v="11"/>
          </reference>
        </references>
      </pivotArea>
    </chartFormat>
    <chartFormat chart="0" format="12" series="1">
      <pivotArea type="data" outline="0" fieldPosition="0">
        <references count="2">
          <reference field="4294967294" count="1" selected="0">
            <x v="0"/>
          </reference>
          <reference field="12" count="1" selected="0">
            <x v="12"/>
          </reference>
        </references>
      </pivotArea>
    </chartFormat>
    <chartFormat chart="0" format="13" series="1">
      <pivotArea type="data" outline="0" fieldPosition="0">
        <references count="2">
          <reference field="4294967294" count="1" selected="0">
            <x v="0"/>
          </reference>
          <reference field="1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E125DFE-B3CF-4635-A52E-576513C46FAE}" sourceName="Platform">
  <pivotTables>
    <pivotTable tabId="2" name="PivotTable1"/>
  </pivotTables>
  <data>
    <tabular pivotCacheId="725932983">
      <items count="7">
        <i x="1" s="1"/>
        <i x="2" s="1"/>
        <i x="0" s="1"/>
        <i x="4"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D87240-0643-4041-BDB1-22C6C3BC8EA2}" sourceName="Category">
  <pivotTables>
    <pivotTable tabId="2" name="PivotTable1"/>
  </pivotTables>
  <data>
    <tabular pivotCacheId="725932983">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93F5C9A-2D37-4771-8AB0-A7704712CD1A}" sourceName="City">
  <pivotTables>
    <pivotTable tabId="4" name="PivotTable2"/>
  </pivotTables>
  <data>
    <tabular pivotCacheId="725932983">
      <items count="13">
        <i x="12" s="1"/>
        <i x="1" s="1"/>
        <i x="11" s="1"/>
        <i x="7" s="1"/>
        <i x="0" s="1"/>
        <i x="9" s="1"/>
        <i x="2" s="1"/>
        <i x="4" s="1"/>
        <i x="10" s="1"/>
        <i x="3" s="1"/>
        <i x="5" s="1"/>
        <i x="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0D117276-B8A3-4228-8750-1B68E8F9D3C3}" sourceName="Platform">
  <pivotTables>
    <pivotTable tabId="5" name="PivotTable3"/>
  </pivotTables>
  <data>
    <tabular pivotCacheId="152066925">
      <items count="7">
        <i x="1" s="1"/>
        <i x="2" s="1"/>
        <i x="0" s="1"/>
        <i x="4" s="1"/>
        <i x="5"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2483CEF-994B-4CB9-BA82-5F162C393C31}" cache="Slicer_Platform" caption="Platform" rowHeight="254906"/>
  <slicer name="Category" xr10:uid="{7B77A4B9-8190-46A5-A7A8-D78CB3EE5E9E}" cache="Slicer_Category" caption="Category"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62BD42F-C165-44AE-A49B-7132954852F4}" cache="Slicer_City" caption="City" rowHeight="25490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E23ADD99-3F47-42FA-8447-F65069FC3061}" cache="Slicer_Platform1" caption="Platform"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BEC2-AEFB-4842-8275-82A6AD8501F9}">
  <dimension ref="A1:M21"/>
  <sheetViews>
    <sheetView workbookViewId="0">
      <selection activeCell="E20" sqref="A1:M21"/>
    </sheetView>
  </sheetViews>
  <sheetFormatPr defaultRowHeight="14.6" x14ac:dyDescent="0.4"/>
  <cols>
    <col min="2" max="2" width="10.23046875" bestFit="1" customWidth="1"/>
    <col min="8" max="9" width="8.84375" style="5"/>
  </cols>
  <sheetData>
    <row r="1" spans="1:13" x14ac:dyDescent="0.4">
      <c r="A1" t="s">
        <v>0</v>
      </c>
      <c r="B1" t="s">
        <v>1</v>
      </c>
      <c r="C1" t="s">
        <v>2</v>
      </c>
      <c r="D1" t="s">
        <v>3</v>
      </c>
      <c r="E1" t="s">
        <v>4</v>
      </c>
      <c r="F1" t="s">
        <v>5</v>
      </c>
      <c r="G1" t="s">
        <v>6</v>
      </c>
      <c r="H1" s="5" t="s">
        <v>7</v>
      </c>
      <c r="I1" s="5" t="s">
        <v>8</v>
      </c>
      <c r="J1" t="s">
        <v>9</v>
      </c>
      <c r="K1" t="s">
        <v>10</v>
      </c>
      <c r="L1" t="s">
        <v>11</v>
      </c>
      <c r="M1" t="s">
        <v>86</v>
      </c>
    </row>
    <row r="2" spans="1:13" x14ac:dyDescent="0.4">
      <c r="A2" t="s">
        <v>12</v>
      </c>
      <c r="B2" s="1">
        <v>46061</v>
      </c>
      <c r="C2" t="s">
        <v>13</v>
      </c>
      <c r="D2" t="s">
        <v>14</v>
      </c>
      <c r="E2" t="s">
        <v>15</v>
      </c>
      <c r="F2" t="s">
        <v>16</v>
      </c>
      <c r="G2">
        <v>2</v>
      </c>
      <c r="H2" s="5">
        <v>399</v>
      </c>
      <c r="I2" s="5">
        <v>180</v>
      </c>
      <c r="J2" s="2">
        <v>0.05</v>
      </c>
      <c r="K2" t="s">
        <v>17</v>
      </c>
      <c r="L2" t="s">
        <v>18</v>
      </c>
      <c r="M2">
        <v>219</v>
      </c>
    </row>
    <row r="3" spans="1:13" x14ac:dyDescent="0.4">
      <c r="A3" t="s">
        <v>19</v>
      </c>
      <c r="B3" s="1">
        <v>46061</v>
      </c>
      <c r="C3" t="s">
        <v>20</v>
      </c>
      <c r="D3" t="s">
        <v>21</v>
      </c>
      <c r="E3" t="s">
        <v>22</v>
      </c>
      <c r="F3" t="s">
        <v>23</v>
      </c>
      <c r="G3">
        <v>1</v>
      </c>
      <c r="H3" s="5">
        <v>2499</v>
      </c>
      <c r="I3" s="5">
        <v>1500</v>
      </c>
      <c r="J3" s="2">
        <v>0.1</v>
      </c>
      <c r="K3" t="s">
        <v>17</v>
      </c>
      <c r="L3" t="s">
        <v>18</v>
      </c>
      <c r="M3">
        <v>999</v>
      </c>
    </row>
    <row r="4" spans="1:13" x14ac:dyDescent="0.4">
      <c r="A4" t="s">
        <v>24</v>
      </c>
      <c r="B4" s="1">
        <v>46061</v>
      </c>
      <c r="C4" t="s">
        <v>25</v>
      </c>
      <c r="D4" t="s">
        <v>26</v>
      </c>
      <c r="E4" t="s">
        <v>27</v>
      </c>
      <c r="F4" t="s">
        <v>28</v>
      </c>
      <c r="G4">
        <v>2</v>
      </c>
      <c r="H4" s="5">
        <v>1999</v>
      </c>
      <c r="I4" s="5">
        <v>1200</v>
      </c>
      <c r="J4" s="2">
        <v>0.15</v>
      </c>
      <c r="K4" t="s">
        <v>17</v>
      </c>
      <c r="L4" t="s">
        <v>18</v>
      </c>
      <c r="M4">
        <v>799</v>
      </c>
    </row>
    <row r="5" spans="1:13" x14ac:dyDescent="0.4">
      <c r="A5" t="s">
        <v>29</v>
      </c>
      <c r="B5" s="1">
        <v>46031</v>
      </c>
      <c r="C5" t="s">
        <v>30</v>
      </c>
      <c r="D5" t="s">
        <v>31</v>
      </c>
      <c r="E5" t="s">
        <v>32</v>
      </c>
      <c r="F5" t="s">
        <v>33</v>
      </c>
      <c r="G5">
        <v>1</v>
      </c>
      <c r="H5" s="5">
        <v>1799</v>
      </c>
      <c r="I5" s="5">
        <v>950</v>
      </c>
      <c r="J5" s="2">
        <v>0.05</v>
      </c>
      <c r="K5" t="s">
        <v>17</v>
      </c>
      <c r="L5" t="s">
        <v>18</v>
      </c>
      <c r="M5">
        <v>849</v>
      </c>
    </row>
    <row r="6" spans="1:13" x14ac:dyDescent="0.4">
      <c r="A6" t="s">
        <v>34</v>
      </c>
      <c r="B6" s="1">
        <v>46091</v>
      </c>
      <c r="C6" t="s">
        <v>35</v>
      </c>
      <c r="D6" t="s">
        <v>36</v>
      </c>
      <c r="E6" t="s">
        <v>37</v>
      </c>
      <c r="F6" t="s">
        <v>38</v>
      </c>
      <c r="G6">
        <v>4</v>
      </c>
      <c r="H6" s="5">
        <v>499</v>
      </c>
      <c r="I6" s="5">
        <v>220</v>
      </c>
      <c r="J6" s="2">
        <v>0.1</v>
      </c>
      <c r="K6" t="s">
        <v>17</v>
      </c>
      <c r="L6" t="s">
        <v>18</v>
      </c>
      <c r="M6">
        <v>279</v>
      </c>
    </row>
    <row r="7" spans="1:13" x14ac:dyDescent="0.4">
      <c r="A7" t="s">
        <v>39</v>
      </c>
      <c r="B7" s="1">
        <v>46032</v>
      </c>
      <c r="C7" t="s">
        <v>13</v>
      </c>
      <c r="D7" t="s">
        <v>40</v>
      </c>
      <c r="E7" t="s">
        <v>15</v>
      </c>
      <c r="F7" t="s">
        <v>41</v>
      </c>
      <c r="G7">
        <v>2</v>
      </c>
      <c r="H7" s="5">
        <v>899</v>
      </c>
      <c r="I7" s="5">
        <v>450</v>
      </c>
      <c r="J7" s="2">
        <v>0.1</v>
      </c>
      <c r="K7" t="s">
        <v>17</v>
      </c>
      <c r="L7" t="s">
        <v>18</v>
      </c>
      <c r="M7">
        <v>449</v>
      </c>
    </row>
    <row r="8" spans="1:13" x14ac:dyDescent="0.4">
      <c r="A8" t="s">
        <v>42</v>
      </c>
      <c r="B8" s="1">
        <v>46123</v>
      </c>
      <c r="C8" t="s">
        <v>43</v>
      </c>
      <c r="D8" t="s">
        <v>44</v>
      </c>
      <c r="E8" t="s">
        <v>32</v>
      </c>
      <c r="F8" t="s">
        <v>45</v>
      </c>
      <c r="G8">
        <v>1</v>
      </c>
      <c r="H8" s="5">
        <v>1299</v>
      </c>
      <c r="I8" s="5">
        <v>700</v>
      </c>
      <c r="J8" s="2">
        <v>0.2</v>
      </c>
      <c r="K8" t="s">
        <v>46</v>
      </c>
      <c r="L8" t="s">
        <v>47</v>
      </c>
      <c r="M8">
        <v>599</v>
      </c>
    </row>
    <row r="9" spans="1:13" x14ac:dyDescent="0.4">
      <c r="A9" t="s">
        <v>48</v>
      </c>
      <c r="B9" s="1">
        <v>46033</v>
      </c>
      <c r="C9" t="s">
        <v>20</v>
      </c>
      <c r="D9" t="s">
        <v>49</v>
      </c>
      <c r="E9" t="s">
        <v>27</v>
      </c>
      <c r="F9" t="s">
        <v>50</v>
      </c>
      <c r="G9">
        <v>1</v>
      </c>
      <c r="H9" s="5">
        <v>1799</v>
      </c>
      <c r="I9" s="5">
        <v>1000</v>
      </c>
      <c r="J9" s="2">
        <v>0.05</v>
      </c>
      <c r="K9" t="s">
        <v>17</v>
      </c>
      <c r="L9" t="s">
        <v>18</v>
      </c>
      <c r="M9">
        <v>799</v>
      </c>
    </row>
    <row r="10" spans="1:13" x14ac:dyDescent="0.4">
      <c r="A10" t="s">
        <v>51</v>
      </c>
      <c r="B10" s="1">
        <v>46034</v>
      </c>
      <c r="C10" t="s">
        <v>25</v>
      </c>
      <c r="D10" t="s">
        <v>52</v>
      </c>
      <c r="E10" t="s">
        <v>15</v>
      </c>
      <c r="F10" t="s">
        <v>16</v>
      </c>
      <c r="G10">
        <v>3</v>
      </c>
      <c r="H10" s="5">
        <v>799</v>
      </c>
      <c r="I10" s="5">
        <v>400</v>
      </c>
      <c r="J10" s="2">
        <v>0.1</v>
      </c>
      <c r="K10" t="s">
        <v>17</v>
      </c>
      <c r="L10" t="s">
        <v>18</v>
      </c>
      <c r="M10">
        <v>399</v>
      </c>
    </row>
    <row r="11" spans="1:13" x14ac:dyDescent="0.4">
      <c r="A11" t="s">
        <v>53</v>
      </c>
      <c r="B11" s="1">
        <v>46154</v>
      </c>
      <c r="C11" t="s">
        <v>54</v>
      </c>
      <c r="D11" t="s">
        <v>55</v>
      </c>
      <c r="E11" t="s">
        <v>32</v>
      </c>
      <c r="F11" t="s">
        <v>56</v>
      </c>
      <c r="G11">
        <v>2</v>
      </c>
      <c r="H11" s="5">
        <v>1099</v>
      </c>
      <c r="I11" s="5">
        <v>550</v>
      </c>
      <c r="J11" s="2">
        <v>0.15</v>
      </c>
      <c r="K11" t="s">
        <v>17</v>
      </c>
      <c r="L11" t="s">
        <v>18</v>
      </c>
      <c r="M11">
        <v>549</v>
      </c>
    </row>
    <row r="12" spans="1:13" x14ac:dyDescent="0.4">
      <c r="A12" t="s">
        <v>57</v>
      </c>
      <c r="B12" s="1">
        <v>46154</v>
      </c>
      <c r="C12" t="s">
        <v>13</v>
      </c>
      <c r="D12" t="s">
        <v>58</v>
      </c>
      <c r="E12" t="s">
        <v>37</v>
      </c>
      <c r="F12" t="s">
        <v>59</v>
      </c>
      <c r="G12">
        <v>1</v>
      </c>
      <c r="H12" s="5">
        <v>699</v>
      </c>
      <c r="I12" s="5">
        <v>300</v>
      </c>
      <c r="J12" s="2">
        <v>0.05</v>
      </c>
      <c r="K12" t="s">
        <v>17</v>
      </c>
      <c r="L12" t="s">
        <v>18</v>
      </c>
      <c r="M12">
        <v>399</v>
      </c>
    </row>
    <row r="13" spans="1:13" x14ac:dyDescent="0.4">
      <c r="A13" t="s">
        <v>60</v>
      </c>
      <c r="B13" s="1">
        <v>46154</v>
      </c>
      <c r="C13" t="s">
        <v>35</v>
      </c>
      <c r="D13" t="s">
        <v>61</v>
      </c>
      <c r="E13" t="s">
        <v>32</v>
      </c>
      <c r="F13" t="s">
        <v>62</v>
      </c>
      <c r="G13">
        <v>3</v>
      </c>
      <c r="H13" s="5">
        <v>599</v>
      </c>
      <c r="I13" s="5">
        <v>300</v>
      </c>
      <c r="J13" s="2">
        <v>0.1</v>
      </c>
      <c r="K13" t="s">
        <v>17</v>
      </c>
      <c r="L13" t="s">
        <v>18</v>
      </c>
      <c r="M13">
        <v>299</v>
      </c>
    </row>
    <row r="14" spans="1:13" x14ac:dyDescent="0.4">
      <c r="A14" t="s">
        <v>63</v>
      </c>
      <c r="B14" s="1">
        <v>46036</v>
      </c>
      <c r="C14" t="s">
        <v>20</v>
      </c>
      <c r="D14" t="s">
        <v>64</v>
      </c>
      <c r="E14" t="s">
        <v>15</v>
      </c>
      <c r="F14" t="s">
        <v>65</v>
      </c>
      <c r="G14">
        <v>2</v>
      </c>
      <c r="H14" s="5">
        <v>1199</v>
      </c>
      <c r="I14" s="5">
        <v>650</v>
      </c>
      <c r="J14" s="2">
        <v>0.05</v>
      </c>
      <c r="K14" t="s">
        <v>46</v>
      </c>
      <c r="L14" t="s">
        <v>47</v>
      </c>
      <c r="M14">
        <v>549</v>
      </c>
    </row>
    <row r="15" spans="1:13" x14ac:dyDescent="0.4">
      <c r="A15" t="s">
        <v>66</v>
      </c>
      <c r="B15" s="1">
        <v>46036</v>
      </c>
      <c r="C15" t="s">
        <v>30</v>
      </c>
      <c r="D15" t="s">
        <v>67</v>
      </c>
      <c r="E15" t="s">
        <v>37</v>
      </c>
      <c r="F15" t="s">
        <v>16</v>
      </c>
      <c r="G15">
        <v>2</v>
      </c>
      <c r="H15" s="5">
        <v>899</v>
      </c>
      <c r="I15" s="5">
        <v>450</v>
      </c>
      <c r="J15" s="2">
        <v>0.1</v>
      </c>
      <c r="K15" t="s">
        <v>17</v>
      </c>
      <c r="L15" t="s">
        <v>18</v>
      </c>
      <c r="M15">
        <v>449</v>
      </c>
    </row>
    <row r="16" spans="1:13" x14ac:dyDescent="0.4">
      <c r="A16" t="s">
        <v>68</v>
      </c>
      <c r="B16" s="1">
        <v>46218</v>
      </c>
      <c r="C16" t="s">
        <v>25</v>
      </c>
      <c r="D16" t="s">
        <v>69</v>
      </c>
      <c r="E16" t="s">
        <v>27</v>
      </c>
      <c r="F16" t="s">
        <v>70</v>
      </c>
      <c r="G16">
        <v>1</v>
      </c>
      <c r="H16" s="5">
        <v>1599</v>
      </c>
      <c r="I16" s="5">
        <v>850</v>
      </c>
      <c r="J16" s="2">
        <v>0.15</v>
      </c>
      <c r="K16" t="s">
        <v>17</v>
      </c>
      <c r="L16" t="s">
        <v>18</v>
      </c>
      <c r="M16">
        <v>749</v>
      </c>
    </row>
    <row r="17" spans="1:13" x14ac:dyDescent="0.4">
      <c r="A17" t="s">
        <v>71</v>
      </c>
      <c r="B17" s="1">
        <v>46218</v>
      </c>
      <c r="C17" t="s">
        <v>13</v>
      </c>
      <c r="D17" t="s">
        <v>72</v>
      </c>
      <c r="E17" t="s">
        <v>15</v>
      </c>
      <c r="F17" t="s">
        <v>38</v>
      </c>
      <c r="G17">
        <v>3</v>
      </c>
      <c r="H17" s="5">
        <v>699</v>
      </c>
      <c r="I17" s="5">
        <v>300</v>
      </c>
      <c r="J17" s="2">
        <v>0.05</v>
      </c>
      <c r="K17" t="s">
        <v>17</v>
      </c>
      <c r="L17" t="s">
        <v>18</v>
      </c>
      <c r="M17">
        <v>399</v>
      </c>
    </row>
    <row r="18" spans="1:13" x14ac:dyDescent="0.4">
      <c r="A18" t="s">
        <v>73</v>
      </c>
      <c r="B18" s="1">
        <v>46218</v>
      </c>
      <c r="C18" t="s">
        <v>43</v>
      </c>
      <c r="D18" t="s">
        <v>74</v>
      </c>
      <c r="E18" t="s">
        <v>32</v>
      </c>
      <c r="F18" t="s">
        <v>41</v>
      </c>
      <c r="G18">
        <v>2</v>
      </c>
      <c r="H18" s="5">
        <v>999</v>
      </c>
      <c r="I18" s="5">
        <v>500</v>
      </c>
      <c r="J18" s="2">
        <v>0.1</v>
      </c>
      <c r="K18" t="s">
        <v>17</v>
      </c>
      <c r="L18" t="s">
        <v>18</v>
      </c>
      <c r="M18">
        <v>499</v>
      </c>
    </row>
    <row r="19" spans="1:13" x14ac:dyDescent="0.4">
      <c r="A19" t="s">
        <v>75</v>
      </c>
      <c r="B19" s="1">
        <v>46342</v>
      </c>
      <c r="C19" t="s">
        <v>54</v>
      </c>
      <c r="D19" t="s">
        <v>76</v>
      </c>
      <c r="E19" t="s">
        <v>37</v>
      </c>
      <c r="F19" t="s">
        <v>45</v>
      </c>
      <c r="G19">
        <v>1</v>
      </c>
      <c r="H19" s="5">
        <v>1299</v>
      </c>
      <c r="I19" s="5">
        <v>650</v>
      </c>
      <c r="J19" s="2">
        <v>0.1</v>
      </c>
      <c r="K19" t="s">
        <v>17</v>
      </c>
      <c r="L19" t="s">
        <v>18</v>
      </c>
      <c r="M19">
        <v>649</v>
      </c>
    </row>
    <row r="20" spans="1:13" x14ac:dyDescent="0.4">
      <c r="A20" t="s">
        <v>77</v>
      </c>
      <c r="B20" s="1">
        <v>46373</v>
      </c>
      <c r="C20" t="s">
        <v>20</v>
      </c>
      <c r="D20" t="s">
        <v>78</v>
      </c>
      <c r="E20" t="s">
        <v>27</v>
      </c>
      <c r="F20" t="s">
        <v>28</v>
      </c>
      <c r="G20">
        <v>2</v>
      </c>
      <c r="H20" s="5">
        <v>1299</v>
      </c>
      <c r="I20" s="5">
        <v>700</v>
      </c>
      <c r="J20" s="2">
        <v>0.05</v>
      </c>
      <c r="K20" t="s">
        <v>17</v>
      </c>
      <c r="L20" t="s">
        <v>18</v>
      </c>
      <c r="M20">
        <v>599</v>
      </c>
    </row>
    <row r="21" spans="1:13" x14ac:dyDescent="0.4">
      <c r="A21" t="s">
        <v>79</v>
      </c>
      <c r="B21" s="1">
        <v>46039</v>
      </c>
      <c r="C21" t="s">
        <v>13</v>
      </c>
      <c r="D21" t="s">
        <v>80</v>
      </c>
      <c r="E21" t="s">
        <v>15</v>
      </c>
      <c r="F21" t="s">
        <v>16</v>
      </c>
      <c r="G21">
        <v>4</v>
      </c>
      <c r="H21" s="5">
        <v>499</v>
      </c>
      <c r="I21" s="5">
        <v>180</v>
      </c>
      <c r="J21" s="2">
        <v>0.1</v>
      </c>
      <c r="K21" t="s">
        <v>17</v>
      </c>
      <c r="L21" t="s">
        <v>18</v>
      </c>
      <c r="M21">
        <v>319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4F6B-8F2E-401D-91EF-5D72B3764478}">
  <dimension ref="A1:G20"/>
  <sheetViews>
    <sheetView tabSelected="1" workbookViewId="0">
      <selection activeCell="F9" sqref="F9"/>
    </sheetView>
  </sheetViews>
  <sheetFormatPr defaultRowHeight="14.6" x14ac:dyDescent="0.4"/>
  <cols>
    <col min="1" max="1" width="18" bestFit="1" customWidth="1"/>
    <col min="4" max="4" width="14.23046875" bestFit="1" customWidth="1"/>
    <col min="7" max="8" width="14.53515625" bestFit="1" customWidth="1"/>
    <col min="9" max="9" width="11.53515625" bestFit="1" customWidth="1"/>
    <col min="10" max="10" width="11.15234375" bestFit="1" customWidth="1"/>
    <col min="11" max="11" width="13.84375" bestFit="1" customWidth="1"/>
    <col min="12" max="12" width="14.23046875" bestFit="1" customWidth="1"/>
  </cols>
  <sheetData>
    <row r="1" spans="1:7" ht="31.75" x14ac:dyDescent="0.85">
      <c r="A1" s="10" t="s">
        <v>101</v>
      </c>
      <c r="B1" s="9"/>
      <c r="C1" s="9"/>
      <c r="D1" s="9"/>
      <c r="E1" s="9"/>
      <c r="F1" s="9"/>
      <c r="G1" s="9"/>
    </row>
    <row r="4" spans="1:7" x14ac:dyDescent="0.4">
      <c r="A4" t="s">
        <v>83</v>
      </c>
    </row>
    <row r="5" spans="1:7" x14ac:dyDescent="0.4">
      <c r="A5" s="7">
        <v>22880</v>
      </c>
    </row>
    <row r="6" spans="1:7" ht="104.6" customHeight="1" x14ac:dyDescent="0.4"/>
    <row r="7" spans="1:7" x14ac:dyDescent="0.4">
      <c r="A7" t="s">
        <v>98</v>
      </c>
    </row>
    <row r="8" spans="1:7" x14ac:dyDescent="0.4">
      <c r="A8" s="7">
        <v>40</v>
      </c>
    </row>
    <row r="9" spans="1:7" ht="104.6" customHeight="1" x14ac:dyDescent="0.4"/>
    <row r="10" spans="1:7" x14ac:dyDescent="0.4">
      <c r="A10" t="s">
        <v>99</v>
      </c>
    </row>
    <row r="11" spans="1:7" x14ac:dyDescent="0.4">
      <c r="A11" s="2">
        <v>1.9000000000000006</v>
      </c>
    </row>
    <row r="12" spans="1:7" ht="104.6" customHeight="1" x14ac:dyDescent="0.4"/>
    <row r="13" spans="1:7" x14ac:dyDescent="0.4">
      <c r="A13" t="s">
        <v>100</v>
      </c>
    </row>
    <row r="14" spans="1:7" x14ac:dyDescent="0.4">
      <c r="A14" s="7">
        <v>999</v>
      </c>
    </row>
    <row r="15" spans="1:7" ht="104.6" customHeight="1" x14ac:dyDescent="0.4"/>
    <row r="16" spans="1:7" x14ac:dyDescent="0.4">
      <c r="A16" t="s">
        <v>95</v>
      </c>
    </row>
    <row r="17" spans="1:1" x14ac:dyDescent="0.4">
      <c r="A17" s="7">
        <v>10850</v>
      </c>
    </row>
    <row r="18" spans="1:1" ht="104.6" customHeight="1" x14ac:dyDescent="0.4"/>
    <row r="19" spans="1:1" x14ac:dyDescent="0.4">
      <c r="A19" t="s">
        <v>102</v>
      </c>
    </row>
    <row r="20" spans="1:1" x14ac:dyDescent="0.4">
      <c r="A20" s="7">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D7B7-1066-469C-AEFE-70638CF7580B}">
  <dimension ref="A3:B16"/>
  <sheetViews>
    <sheetView workbookViewId="0">
      <selection activeCell="G21" sqref="G21"/>
    </sheetView>
  </sheetViews>
  <sheetFormatPr defaultRowHeight="14.6" x14ac:dyDescent="0.4"/>
  <cols>
    <col min="1" max="1" width="12.4609375" bestFit="1" customWidth="1"/>
    <col min="2" max="3" width="18" bestFit="1" customWidth="1"/>
  </cols>
  <sheetData>
    <row r="3" spans="1:2" x14ac:dyDescent="0.4">
      <c r="A3" s="3" t="s">
        <v>81</v>
      </c>
      <c r="B3" t="s">
        <v>83</v>
      </c>
    </row>
    <row r="4" spans="1:2" x14ac:dyDescent="0.4">
      <c r="A4" s="4" t="s">
        <v>70</v>
      </c>
      <c r="B4" s="7">
        <v>1599</v>
      </c>
    </row>
    <row r="5" spans="1:2" x14ac:dyDescent="0.4">
      <c r="A5" s="4" t="s">
        <v>23</v>
      </c>
      <c r="B5" s="7">
        <v>2499</v>
      </c>
    </row>
    <row r="6" spans="1:2" x14ac:dyDescent="0.4">
      <c r="A6" s="4" t="s">
        <v>65</v>
      </c>
      <c r="B6" s="7">
        <v>1199</v>
      </c>
    </row>
    <row r="7" spans="1:2" x14ac:dyDescent="0.4">
      <c r="A7" s="4" t="s">
        <v>50</v>
      </c>
      <c r="B7" s="7">
        <v>1799</v>
      </c>
    </row>
    <row r="8" spans="1:2" x14ac:dyDescent="0.4">
      <c r="A8" s="4" t="s">
        <v>16</v>
      </c>
      <c r="B8" s="7">
        <v>2596</v>
      </c>
    </row>
    <row r="9" spans="1:2" x14ac:dyDescent="0.4">
      <c r="A9" s="4" t="s">
        <v>59</v>
      </c>
      <c r="B9" s="7">
        <v>699</v>
      </c>
    </row>
    <row r="10" spans="1:2" x14ac:dyDescent="0.4">
      <c r="A10" s="4" t="s">
        <v>28</v>
      </c>
      <c r="B10" s="7">
        <v>3298</v>
      </c>
    </row>
    <row r="11" spans="1:2" x14ac:dyDescent="0.4">
      <c r="A11" s="4" t="s">
        <v>38</v>
      </c>
      <c r="B11" s="7">
        <v>1198</v>
      </c>
    </row>
    <row r="12" spans="1:2" x14ac:dyDescent="0.4">
      <c r="A12" s="4" t="s">
        <v>62</v>
      </c>
      <c r="B12" s="7">
        <v>599</v>
      </c>
    </row>
    <row r="13" spans="1:2" x14ac:dyDescent="0.4">
      <c r="A13" s="4" t="s">
        <v>33</v>
      </c>
      <c r="B13" s="7">
        <v>1799</v>
      </c>
    </row>
    <row r="14" spans="1:2" x14ac:dyDescent="0.4">
      <c r="A14" s="4" t="s">
        <v>41</v>
      </c>
      <c r="B14" s="7">
        <v>1898</v>
      </c>
    </row>
    <row r="15" spans="1:2" x14ac:dyDescent="0.4">
      <c r="A15" s="4" t="s">
        <v>56</v>
      </c>
      <c r="B15" s="7">
        <v>1099</v>
      </c>
    </row>
    <row r="16" spans="1:2" x14ac:dyDescent="0.4">
      <c r="A16" s="4" t="s">
        <v>45</v>
      </c>
      <c r="B16" s="7">
        <v>2598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2AD72-DFB1-4AA8-886D-173558B3FE38}">
  <dimension ref="A3:L18"/>
  <sheetViews>
    <sheetView workbookViewId="0">
      <selection activeCell="Q16" sqref="Q16"/>
    </sheetView>
  </sheetViews>
  <sheetFormatPr defaultRowHeight="14.6" x14ac:dyDescent="0.4"/>
  <cols>
    <col min="1" max="1" width="19.3046875" bestFit="1" customWidth="1"/>
    <col min="2" max="2" width="15.53515625" bestFit="1" customWidth="1"/>
    <col min="3" max="3" width="8.53515625" bestFit="1" customWidth="1"/>
    <col min="4" max="4" width="10.53515625" bestFit="1" customWidth="1"/>
  </cols>
  <sheetData>
    <row r="3" spans="1:12" x14ac:dyDescent="0.4">
      <c r="A3" s="3" t="s">
        <v>84</v>
      </c>
      <c r="B3" s="3" t="s">
        <v>85</v>
      </c>
    </row>
    <row r="4" spans="1:12" x14ac:dyDescent="0.4">
      <c r="A4" s="3" t="s">
        <v>81</v>
      </c>
      <c r="B4" t="s">
        <v>17</v>
      </c>
      <c r="C4" t="s">
        <v>46</v>
      </c>
    </row>
    <row r="5" spans="1:12" x14ac:dyDescent="0.4">
      <c r="A5" s="4">
        <v>399</v>
      </c>
      <c r="B5" s="7">
        <v>1</v>
      </c>
      <c r="C5" s="7"/>
    </row>
    <row r="6" spans="1:12" x14ac:dyDescent="0.4">
      <c r="A6" s="4">
        <v>499</v>
      </c>
      <c r="B6" s="7">
        <v>2</v>
      </c>
      <c r="C6" s="7"/>
    </row>
    <row r="7" spans="1:12" x14ac:dyDescent="0.4">
      <c r="A7" s="4">
        <v>599</v>
      </c>
      <c r="B7" s="7">
        <v>1</v>
      </c>
      <c r="C7" s="7"/>
    </row>
    <row r="8" spans="1:12" x14ac:dyDescent="0.4">
      <c r="A8" s="4">
        <v>699</v>
      </c>
      <c r="B8" s="7">
        <v>2</v>
      </c>
      <c r="C8" s="7"/>
      <c r="L8" s="8" t="s">
        <v>96</v>
      </c>
    </row>
    <row r="9" spans="1:12" x14ac:dyDescent="0.4">
      <c r="A9" s="4">
        <v>799</v>
      </c>
      <c r="B9" s="7">
        <v>1</v>
      </c>
      <c r="C9" s="7"/>
    </row>
    <row r="10" spans="1:12" x14ac:dyDescent="0.4">
      <c r="A10" s="4">
        <v>899</v>
      </c>
      <c r="B10" s="7">
        <v>2</v>
      </c>
      <c r="C10" s="7"/>
    </row>
    <row r="11" spans="1:12" x14ac:dyDescent="0.4">
      <c r="A11" s="4">
        <v>999</v>
      </c>
      <c r="B11" s="7">
        <v>1</v>
      </c>
      <c r="C11" s="7"/>
    </row>
    <row r="12" spans="1:12" x14ac:dyDescent="0.4">
      <c r="A12" s="4">
        <v>1099</v>
      </c>
      <c r="B12" s="7">
        <v>1</v>
      </c>
      <c r="C12" s="7"/>
    </row>
    <row r="13" spans="1:12" x14ac:dyDescent="0.4">
      <c r="A13" s="4">
        <v>1199</v>
      </c>
      <c r="B13" s="7"/>
      <c r="C13" s="7">
        <v>1</v>
      </c>
    </row>
    <row r="14" spans="1:12" x14ac:dyDescent="0.4">
      <c r="A14" s="4">
        <v>1299</v>
      </c>
      <c r="B14" s="7">
        <v>2</v>
      </c>
      <c r="C14" s="7">
        <v>1</v>
      </c>
    </row>
    <row r="15" spans="1:12" x14ac:dyDescent="0.4">
      <c r="A15" s="4">
        <v>1599</v>
      </c>
      <c r="B15" s="7">
        <v>1</v>
      </c>
      <c r="C15" s="7"/>
    </row>
    <row r="16" spans="1:12" x14ac:dyDescent="0.4">
      <c r="A16" s="4">
        <v>1799</v>
      </c>
      <c r="B16" s="7">
        <v>2</v>
      </c>
      <c r="C16" s="7"/>
    </row>
    <row r="17" spans="1:3" x14ac:dyDescent="0.4">
      <c r="A17" s="4">
        <v>1999</v>
      </c>
      <c r="B17" s="7">
        <v>1</v>
      </c>
      <c r="C17" s="7"/>
    </row>
    <row r="18" spans="1:3" x14ac:dyDescent="0.4">
      <c r="A18" s="4">
        <v>2499</v>
      </c>
      <c r="B18" s="7">
        <v>1</v>
      </c>
      <c r="C18"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2AB0-5354-465F-8A39-E66674D0903F}">
  <dimension ref="A3:M12"/>
  <sheetViews>
    <sheetView workbookViewId="0">
      <selection activeCell="S10" sqref="S10"/>
    </sheetView>
  </sheetViews>
  <sheetFormatPr defaultRowHeight="14.6" x14ac:dyDescent="0.4"/>
  <cols>
    <col min="1" max="1" width="12.4609375" bestFit="1" customWidth="1"/>
    <col min="2" max="2" width="11.53515625" bestFit="1" customWidth="1"/>
  </cols>
  <sheetData>
    <row r="3" spans="1:13" x14ac:dyDescent="0.4">
      <c r="A3" s="3" t="s">
        <v>81</v>
      </c>
      <c r="B3" t="s">
        <v>95</v>
      </c>
    </row>
    <row r="4" spans="1:13" x14ac:dyDescent="0.4">
      <c r="A4" s="4" t="s">
        <v>87</v>
      </c>
      <c r="B4" s="7">
        <v>3813</v>
      </c>
    </row>
    <row r="5" spans="1:13" x14ac:dyDescent="0.4">
      <c r="A5" s="4" t="s">
        <v>88</v>
      </c>
      <c r="B5" s="7">
        <v>2017</v>
      </c>
    </row>
    <row r="6" spans="1:13" x14ac:dyDescent="0.4">
      <c r="A6" s="4" t="s">
        <v>89</v>
      </c>
      <c r="B6" s="7">
        <v>279</v>
      </c>
    </row>
    <row r="7" spans="1:13" x14ac:dyDescent="0.4">
      <c r="A7" s="4" t="s">
        <v>90</v>
      </c>
      <c r="B7" s="7">
        <v>599</v>
      </c>
    </row>
    <row r="8" spans="1:13" x14ac:dyDescent="0.4">
      <c r="A8" s="4" t="s">
        <v>91</v>
      </c>
      <c r="B8" s="7">
        <v>1247</v>
      </c>
      <c r="M8" t="s">
        <v>97</v>
      </c>
    </row>
    <row r="9" spans="1:13" x14ac:dyDescent="0.4">
      <c r="A9" s="4" t="s">
        <v>92</v>
      </c>
      <c r="B9" s="7">
        <v>1647</v>
      </c>
    </row>
    <row r="10" spans="1:13" x14ac:dyDescent="0.4">
      <c r="A10" s="4" t="s">
        <v>93</v>
      </c>
      <c r="B10" s="7">
        <v>649</v>
      </c>
    </row>
    <row r="11" spans="1:13" x14ac:dyDescent="0.4">
      <c r="A11" s="4" t="s">
        <v>94</v>
      </c>
      <c r="B11" s="7">
        <v>599</v>
      </c>
    </row>
    <row r="12" spans="1:13" x14ac:dyDescent="0.4">
      <c r="A12" s="4" t="s">
        <v>82</v>
      </c>
      <c r="B12" s="7">
        <v>10850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3AE8-CF1D-4BEB-BDE7-F7776A055300}">
  <dimension ref="A1:Q21"/>
  <sheetViews>
    <sheetView workbookViewId="0">
      <selection activeCell="AB26" sqref="AB26"/>
    </sheetView>
  </sheetViews>
  <sheetFormatPr defaultRowHeight="14.6" x14ac:dyDescent="0.4"/>
  <cols>
    <col min="1" max="1" width="12.4609375" bestFit="1" customWidth="1"/>
    <col min="2" max="2" width="15.53515625" bestFit="1" customWidth="1"/>
    <col min="3" max="15" width="4" bestFit="1" customWidth="1"/>
  </cols>
  <sheetData>
    <row r="1" spans="1:17" x14ac:dyDescent="0.4">
      <c r="P1" t="s">
        <v>9</v>
      </c>
      <c r="Q1" t="s">
        <v>86</v>
      </c>
    </row>
    <row r="2" spans="1:17" x14ac:dyDescent="0.4">
      <c r="P2" s="2">
        <v>0.05</v>
      </c>
      <c r="Q2">
        <v>219</v>
      </c>
    </row>
    <row r="3" spans="1:17" x14ac:dyDescent="0.4">
      <c r="A3" s="3" t="s">
        <v>95</v>
      </c>
      <c r="B3" s="3" t="s">
        <v>85</v>
      </c>
      <c r="P3" s="2">
        <v>0.1</v>
      </c>
      <c r="Q3">
        <v>999</v>
      </c>
    </row>
    <row r="4" spans="1:17" x14ac:dyDescent="0.4">
      <c r="A4" s="3" t="s">
        <v>81</v>
      </c>
      <c r="B4">
        <v>219</v>
      </c>
      <c r="C4">
        <v>279</v>
      </c>
      <c r="D4">
        <v>299</v>
      </c>
      <c r="E4">
        <v>319</v>
      </c>
      <c r="F4">
        <v>399</v>
      </c>
      <c r="G4">
        <v>449</v>
      </c>
      <c r="H4">
        <v>499</v>
      </c>
      <c r="I4">
        <v>549</v>
      </c>
      <c r="J4">
        <v>599</v>
      </c>
      <c r="K4">
        <v>649</v>
      </c>
      <c r="L4">
        <v>749</v>
      </c>
      <c r="M4">
        <v>799</v>
      </c>
      <c r="N4">
        <v>849</v>
      </c>
      <c r="O4">
        <v>999</v>
      </c>
      <c r="P4" s="2">
        <v>0.15</v>
      </c>
      <c r="Q4">
        <v>799</v>
      </c>
    </row>
    <row r="5" spans="1:17" x14ac:dyDescent="0.4">
      <c r="A5" s="6">
        <v>0.05</v>
      </c>
      <c r="B5">
        <v>219</v>
      </c>
      <c r="F5">
        <v>798</v>
      </c>
      <c r="I5">
        <v>549</v>
      </c>
      <c r="J5">
        <v>599</v>
      </c>
      <c r="M5">
        <v>799</v>
      </c>
      <c r="N5">
        <v>849</v>
      </c>
      <c r="P5" s="2">
        <v>0.05</v>
      </c>
      <c r="Q5">
        <v>849</v>
      </c>
    </row>
    <row r="6" spans="1:17" x14ac:dyDescent="0.4">
      <c r="A6" s="6">
        <v>0.1</v>
      </c>
      <c r="C6">
        <v>279</v>
      </c>
      <c r="D6">
        <v>299</v>
      </c>
      <c r="E6">
        <v>319</v>
      </c>
      <c r="F6">
        <v>399</v>
      </c>
      <c r="G6">
        <v>898</v>
      </c>
      <c r="H6">
        <v>499</v>
      </c>
      <c r="K6">
        <v>649</v>
      </c>
      <c r="O6">
        <v>999</v>
      </c>
      <c r="P6" s="2">
        <v>0.1</v>
      </c>
      <c r="Q6">
        <v>279</v>
      </c>
    </row>
    <row r="7" spans="1:17" x14ac:dyDescent="0.4">
      <c r="A7" s="6">
        <v>0.15</v>
      </c>
      <c r="I7">
        <v>549</v>
      </c>
      <c r="L7">
        <v>749</v>
      </c>
      <c r="M7">
        <v>799</v>
      </c>
      <c r="P7" s="2">
        <v>0.1</v>
      </c>
      <c r="Q7">
        <v>449</v>
      </c>
    </row>
    <row r="8" spans="1:17" x14ac:dyDescent="0.4">
      <c r="A8" s="6">
        <v>0.2</v>
      </c>
      <c r="J8">
        <v>599</v>
      </c>
      <c r="P8" s="2">
        <v>0.2</v>
      </c>
      <c r="Q8">
        <v>599</v>
      </c>
    </row>
    <row r="9" spans="1:17" x14ac:dyDescent="0.4">
      <c r="P9" s="2">
        <v>0.05</v>
      </c>
      <c r="Q9">
        <v>799</v>
      </c>
    </row>
    <row r="10" spans="1:17" x14ac:dyDescent="0.4">
      <c r="P10" s="2">
        <v>0.1</v>
      </c>
      <c r="Q10">
        <v>399</v>
      </c>
    </row>
    <row r="11" spans="1:17" x14ac:dyDescent="0.4">
      <c r="P11" s="2">
        <v>0.15</v>
      </c>
      <c r="Q11">
        <v>549</v>
      </c>
    </row>
    <row r="12" spans="1:17" x14ac:dyDescent="0.4">
      <c r="P12" s="2">
        <v>0.05</v>
      </c>
      <c r="Q12">
        <v>399</v>
      </c>
    </row>
    <row r="13" spans="1:17" x14ac:dyDescent="0.4">
      <c r="P13" s="2">
        <v>0.1</v>
      </c>
      <c r="Q13">
        <v>299</v>
      </c>
    </row>
    <row r="14" spans="1:17" x14ac:dyDescent="0.4">
      <c r="P14" s="2">
        <v>0.05</v>
      </c>
      <c r="Q14">
        <v>549</v>
      </c>
    </row>
    <row r="15" spans="1:17" x14ac:dyDescent="0.4">
      <c r="P15" s="2">
        <v>0.1</v>
      </c>
      <c r="Q15">
        <v>449</v>
      </c>
    </row>
    <row r="16" spans="1:17" x14ac:dyDescent="0.4">
      <c r="P16" s="2">
        <v>0.15</v>
      </c>
      <c r="Q16">
        <v>749</v>
      </c>
    </row>
    <row r="17" spans="16:17" x14ac:dyDescent="0.4">
      <c r="P17" s="2">
        <v>0.05</v>
      </c>
      <c r="Q17">
        <v>399</v>
      </c>
    </row>
    <row r="18" spans="16:17" x14ac:dyDescent="0.4">
      <c r="P18" s="2">
        <v>0.1</v>
      </c>
      <c r="Q18">
        <v>499</v>
      </c>
    </row>
    <row r="19" spans="16:17" x14ac:dyDescent="0.4">
      <c r="P19" s="2">
        <v>0.1</v>
      </c>
      <c r="Q19">
        <v>649</v>
      </c>
    </row>
    <row r="20" spans="16:17" x14ac:dyDescent="0.4">
      <c r="P20" s="2">
        <v>0.05</v>
      </c>
      <c r="Q20">
        <v>599</v>
      </c>
    </row>
    <row r="21" spans="16:17" x14ac:dyDescent="0.4">
      <c r="P21" s="2">
        <v>0.1</v>
      </c>
      <c r="Q21">
        <v>319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AAE53-4139-4FD8-BC7D-7224DEEB7A1E}">
  <dimension ref="A3:O17"/>
  <sheetViews>
    <sheetView workbookViewId="0">
      <selection activeCell="X12" sqref="X12"/>
    </sheetView>
  </sheetViews>
  <sheetFormatPr defaultRowHeight="14.6" x14ac:dyDescent="0.4"/>
  <cols>
    <col min="1" max="1" width="12.4609375" bestFit="1" customWidth="1"/>
    <col min="2" max="2" width="15.53515625" bestFit="1" customWidth="1"/>
    <col min="3" max="15" width="4" bestFit="1" customWidth="1"/>
    <col min="16" max="16" width="10.53515625" bestFit="1" customWidth="1"/>
  </cols>
  <sheetData>
    <row r="3" spans="1:15" x14ac:dyDescent="0.4">
      <c r="A3" s="3" t="s">
        <v>95</v>
      </c>
      <c r="B3" s="3" t="s">
        <v>85</v>
      </c>
    </row>
    <row r="4" spans="1:15" x14ac:dyDescent="0.4">
      <c r="A4" s="3" t="s">
        <v>81</v>
      </c>
      <c r="B4">
        <v>219</v>
      </c>
      <c r="C4">
        <v>279</v>
      </c>
      <c r="D4">
        <v>299</v>
      </c>
      <c r="E4">
        <v>319</v>
      </c>
      <c r="F4">
        <v>399</v>
      </c>
      <c r="G4">
        <v>449</v>
      </c>
      <c r="H4">
        <v>499</v>
      </c>
      <c r="I4">
        <v>549</v>
      </c>
      <c r="J4">
        <v>599</v>
      </c>
      <c r="K4">
        <v>649</v>
      </c>
      <c r="L4">
        <v>749</v>
      </c>
      <c r="M4">
        <v>799</v>
      </c>
      <c r="N4">
        <v>849</v>
      </c>
      <c r="O4">
        <v>999</v>
      </c>
    </row>
    <row r="5" spans="1:15" x14ac:dyDescent="0.4">
      <c r="A5" s="4" t="s">
        <v>70</v>
      </c>
      <c r="L5">
        <v>749</v>
      </c>
    </row>
    <row r="6" spans="1:15" x14ac:dyDescent="0.4">
      <c r="A6" s="4" t="s">
        <v>23</v>
      </c>
      <c r="O6">
        <v>999</v>
      </c>
    </row>
    <row r="7" spans="1:15" x14ac:dyDescent="0.4">
      <c r="A7" s="4" t="s">
        <v>65</v>
      </c>
      <c r="I7">
        <v>549</v>
      </c>
    </row>
    <row r="8" spans="1:15" x14ac:dyDescent="0.4">
      <c r="A8" s="4" t="s">
        <v>50</v>
      </c>
      <c r="M8">
        <v>799</v>
      </c>
    </row>
    <row r="9" spans="1:15" x14ac:dyDescent="0.4">
      <c r="A9" s="4" t="s">
        <v>16</v>
      </c>
      <c r="B9">
        <v>219</v>
      </c>
      <c r="E9">
        <v>319</v>
      </c>
      <c r="F9">
        <v>399</v>
      </c>
      <c r="G9">
        <v>449</v>
      </c>
    </row>
    <row r="10" spans="1:15" x14ac:dyDescent="0.4">
      <c r="A10" s="4" t="s">
        <v>59</v>
      </c>
      <c r="F10">
        <v>399</v>
      </c>
    </row>
    <row r="11" spans="1:15" x14ac:dyDescent="0.4">
      <c r="A11" s="4" t="s">
        <v>28</v>
      </c>
      <c r="J11">
        <v>599</v>
      </c>
      <c r="M11">
        <v>799</v>
      </c>
    </row>
    <row r="12" spans="1:15" x14ac:dyDescent="0.4">
      <c r="A12" s="4" t="s">
        <v>38</v>
      </c>
      <c r="C12">
        <v>279</v>
      </c>
      <c r="F12">
        <v>399</v>
      </c>
    </row>
    <row r="13" spans="1:15" x14ac:dyDescent="0.4">
      <c r="A13" s="4" t="s">
        <v>62</v>
      </c>
      <c r="D13">
        <v>299</v>
      </c>
    </row>
    <row r="14" spans="1:15" x14ac:dyDescent="0.4">
      <c r="A14" s="4" t="s">
        <v>33</v>
      </c>
      <c r="N14">
        <v>849</v>
      </c>
    </row>
    <row r="15" spans="1:15" x14ac:dyDescent="0.4">
      <c r="A15" s="4" t="s">
        <v>41</v>
      </c>
      <c r="G15">
        <v>449</v>
      </c>
      <c r="H15">
        <v>499</v>
      </c>
    </row>
    <row r="16" spans="1:15" x14ac:dyDescent="0.4">
      <c r="A16" s="4" t="s">
        <v>56</v>
      </c>
      <c r="I16">
        <v>549</v>
      </c>
    </row>
    <row r="17" spans="1:11" x14ac:dyDescent="0.4">
      <c r="A17" s="4" t="s">
        <v>45</v>
      </c>
      <c r="J17">
        <v>599</v>
      </c>
      <c r="K17">
        <v>649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KPI</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 Aggarwal</dc:creator>
  <cp:lastModifiedBy>Soutrik Saha</cp:lastModifiedBy>
  <dcterms:created xsi:type="dcterms:W3CDTF">2026-09-13T09:53:48Z</dcterms:created>
  <dcterms:modified xsi:type="dcterms:W3CDTF">2026-09-13T12:09:03Z</dcterms:modified>
</cp:coreProperties>
</file>